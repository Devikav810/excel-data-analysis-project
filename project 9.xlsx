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vika gopakumar\OneDrive\Desktop\"/>
    </mc:Choice>
  </mc:AlternateContent>
  <xr:revisionPtr revIDLastSave="0" documentId="13_ncr:1_{3C26B9C3-C399-4AEF-BED1-A76C779BA185}" xr6:coauthVersionLast="47" xr6:coauthVersionMax="47" xr10:uidLastSave="{00000000-0000-0000-0000-000000000000}"/>
  <bookViews>
    <workbookView xWindow="-108" yWindow="-108" windowWidth="23256" windowHeight="12456" xr2:uid="{A67B71FF-5FF1-432E-B63E-B7827BFA3C8E}"/>
  </bookViews>
  <sheets>
    <sheet name="dashboard" sheetId="1" r:id="rId1"/>
    <sheet name="worldometer_coronavirus_summary" sheetId="2" r:id="rId2"/>
  </sheets>
  <definedNames>
    <definedName name="Slicer_continent">#N/A</definedName>
    <definedName name="Slicer_country">#N/A</definedName>
  </definedNames>
  <calcPr calcId="191029"/>
  <pivotCaches>
    <pivotCache cacheId="28" r:id="rId3"/>
    <pivotCache cacheId="15" r:id="rId4"/>
    <pivotCache cacheId="20" r:id="rId5"/>
    <pivotCache cacheId="22" r:id="rId6"/>
    <pivotCache cacheId="24" r:id="rId7"/>
    <pivotCache cacheId="26" r:id="rId8"/>
    <pivotCache cacheId="18"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rldometer_coronavirus_summary_data_a884bbd6-12dd-41dc-a0f5-f335509b0dd7" name="worldometer_coronavirus_summary_data" connection="Query - worldometer_coronavirus_summary_data"/>
          <x15:modelTable id="worldometer_coronavirus_daily_data_69fe7ec5-fe4b-4921-a70e-df80119773ab" name="worldometer_coronavirus_daily_data" connection="Query - worldometer_coronavirus_daily_data"/>
        </x15:modelTables>
        <x15:extLst>
          <ext xmlns:x16="http://schemas.microsoft.com/office/spreadsheetml/2014/11/main" uri="{9835A34E-60A6-4A7C-AAB8-D5F71C897F49}">
            <x16:modelTimeGroupings>
              <x16:modelTimeGrouping tableName="worldometer_coronavirus_daily_data" columnName="date" columnId="date">
                <x16:calculatedTimeColumn columnName="date (Year)" columnId="date (Year)" contentType="years" isSelected="0"/>
                <x16:calculatedTimeColumn columnName="date (Quarter)" columnId="date (Quarter)" contentType="quarters" isSelected="0"/>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12" i="1" l="1"/>
  <c r="F1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654321-AC1D-4484-A98B-CE0D5CE9BCA7}" name="Query - worldometer_coronavirus_daily_data" description="Connection to the 'worldometer_coronavirus_daily_data' query in the workbook." type="100" refreshedVersion="8" minRefreshableVersion="5">
    <extLst>
      <ext xmlns:x15="http://schemas.microsoft.com/office/spreadsheetml/2010/11/main" uri="{DE250136-89BD-433C-8126-D09CA5730AF9}">
        <x15:connection id="1a361cd3-74fe-408b-a0cb-9f91e9f52e07"/>
      </ext>
    </extLst>
  </connection>
  <connection id="2" xr16:uid="{2B285B35-031A-4439-94EF-DBD10EBD30B6}" name="Query - worldometer_coronavirus_summary_data" description="Connection to the 'worldometer_coronavirus_summary_data' query in the workbook." type="100" refreshedVersion="8" minRefreshableVersion="5">
    <extLst>
      <ext xmlns:x15="http://schemas.microsoft.com/office/spreadsheetml/2010/11/main" uri="{DE250136-89BD-433C-8126-D09CA5730AF9}">
        <x15:connection id="f6225b3b-6e45-4ed7-927e-8635406c959e"/>
      </ext>
    </extLst>
  </connection>
  <connection id="3" xr16:uid="{8D888719-1263-4A1A-BE16-46FA95EDD0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<sst xmlns="http://schemas.openxmlformats.org/spreadsheetml/2006/main" count="68" uniqueCount="48">
  <si>
    <t>Row Labels</t>
  </si>
  <si>
    <t>Afghanistan</t>
  </si>
  <si>
    <t>Grand Total</t>
  </si>
  <si>
    <t>Sum of daily_new_cases</t>
  </si>
  <si>
    <t>Albania</t>
  </si>
  <si>
    <t>Algeria</t>
  </si>
  <si>
    <t>Andorra</t>
  </si>
  <si>
    <t>Angola</t>
  </si>
  <si>
    <t>Anguilla</t>
  </si>
  <si>
    <t>Antigua And Barbuda</t>
  </si>
  <si>
    <t>Argentina</t>
  </si>
  <si>
    <t>Armenia</t>
  </si>
  <si>
    <t>Aruba</t>
  </si>
  <si>
    <t>Brazil</t>
  </si>
  <si>
    <t>France</t>
  </si>
  <si>
    <t>Germany</t>
  </si>
  <si>
    <t>India</t>
  </si>
  <si>
    <t>Italy</t>
  </si>
  <si>
    <t>Russia</t>
  </si>
  <si>
    <t>Spain</t>
  </si>
  <si>
    <t>Turkey</t>
  </si>
  <si>
    <t>UK</t>
  </si>
  <si>
    <t>USA</t>
  </si>
  <si>
    <t>Sum of cumulative_total_cases</t>
  </si>
  <si>
    <t>Asia</t>
  </si>
  <si>
    <t>Europe</t>
  </si>
  <si>
    <t>Africa</t>
  </si>
  <si>
    <t>North America</t>
  </si>
  <si>
    <t>South America</t>
  </si>
  <si>
    <t>Australia/Oceania</t>
  </si>
  <si>
    <t>Sum of total_confirmed</t>
  </si>
  <si>
    <t>Sum of active_cases</t>
  </si>
  <si>
    <t>Jan</t>
  </si>
  <si>
    <t>Feb</t>
  </si>
  <si>
    <t>Mar</t>
  </si>
  <si>
    <t>Apr</t>
  </si>
  <si>
    <t>May</t>
  </si>
  <si>
    <t>Jun</t>
  </si>
  <si>
    <t>Jul</t>
  </si>
  <si>
    <t>Aug</t>
  </si>
  <si>
    <t>Sep</t>
  </si>
  <si>
    <t>Oct</t>
  </si>
  <si>
    <t>Nov</t>
  </si>
  <si>
    <t>Dec</t>
  </si>
  <si>
    <t>Sum of total_deaths</t>
  </si>
  <si>
    <t>total cases</t>
  </si>
  <si>
    <t>total deads</t>
  </si>
  <si>
    <t>Coronavirus summary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</si>
</sst>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26"/>
      <color theme="2"/>
      <name val="Aptos Narrow"/>
      <family val="2"/>
      <scheme val="minor"/>
    </font>
    <font>
      <b/>
      <sz val="20"/>
      <color theme="2"/>
      <name val="Aptos Narrow"/>
      <family val="2"/>
      <scheme val="minor"/>
    </font>
    <font>
      <b/>
      <sz val="22"/>
      <color theme="2"/>
      <name val="Aptos Narrow"/>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Alignment="1">
      <alignment horizontal="center" vertical="center"/>
    </xf>
    <xf numFmtId="0" fontId="3" fillId="2" borderId="0" xfId="0" applyFont="1" applyFill="1" applyAlignment="1">
      <alignment horizontal="center" vertical="center"/>
    </xf>
    <xf numFmtId="0" fontId="1" fillId="2" borderId="0" xfId="0" applyFont="1" applyFill="1" applyAlignment="1">
      <alignment horizontal="center" vertical="center"/>
    </xf>
    <xf numFmtId="0" fontId="0" fillId="3" borderId="0" xfId="0" applyFill="1" applyAlignment="1">
      <alignment horizontal="center"/>
    </xf>
  </cellXfs>
  <cellStyles count="1">
    <cellStyle name="Normal" xfId="0" builtinId="0"/>
  </cellStyles>
  <dxfs count="0"/>
  <tableStyles count="1" defaultTableStyle="TableStyleMedium2" defaultPivotStyle="PivotStyleLight16">
    <tableStyle name="Invisible" pivot="0" table="0" count="0" xr9:uid="{2EC2BC77-423D-4BED-92FA-A6A0340AB1E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openxmlformats.org/officeDocument/2006/relationships/styles" Target="styles.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new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worldometer_coronavirus_summary!$B$1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worldometer_coronavirus_summary!$A$2:$A$12</c:f>
              <c:strCache>
                <c:ptCount val="10"/>
                <c:pt idx="0">
                  <c:v>Argentina</c:v>
                </c:pt>
                <c:pt idx="1">
                  <c:v>Anguilla</c:v>
                </c:pt>
                <c:pt idx="2">
                  <c:v>Aruba</c:v>
                </c:pt>
                <c:pt idx="3">
                  <c:v>Albania</c:v>
                </c:pt>
                <c:pt idx="4">
                  <c:v>Antigua And Barbuda</c:v>
                </c:pt>
                <c:pt idx="5">
                  <c:v>Algeria</c:v>
                </c:pt>
                <c:pt idx="6">
                  <c:v>Armenia</c:v>
                </c:pt>
                <c:pt idx="7">
                  <c:v>Andorra</c:v>
                </c:pt>
                <c:pt idx="8">
                  <c:v>Afghanistan</c:v>
                </c:pt>
                <c:pt idx="9">
                  <c:v>Angola</c:v>
                </c:pt>
              </c:strCache>
            </c:strRef>
          </c:cat>
          <c:val>
            <c:numRef>
              <c:f>worldometer_coronavirus_summary!$B$2:$B$12</c:f>
              <c:numCache>
                <c:formatCode>General</c:formatCode>
                <c:ptCount val="10"/>
                <c:pt idx="0">
                  <c:v>121915</c:v>
                </c:pt>
                <c:pt idx="1">
                  <c:v>121915</c:v>
                </c:pt>
                <c:pt idx="2">
                  <c:v>121915</c:v>
                </c:pt>
                <c:pt idx="3">
                  <c:v>121915</c:v>
                </c:pt>
                <c:pt idx="4">
                  <c:v>121915</c:v>
                </c:pt>
                <c:pt idx="5">
                  <c:v>121915</c:v>
                </c:pt>
                <c:pt idx="6">
                  <c:v>121915</c:v>
                </c:pt>
                <c:pt idx="7">
                  <c:v>121915</c:v>
                </c:pt>
                <c:pt idx="8">
                  <c:v>121915</c:v>
                </c:pt>
                <c:pt idx="9">
                  <c:v>121915</c:v>
                </c:pt>
              </c:numCache>
            </c:numRef>
          </c:val>
          <c:extLst>
            <c:ext xmlns:c16="http://schemas.microsoft.com/office/drawing/2014/chart" uri="{C3380CC4-5D6E-409C-BE32-E72D297353CC}">
              <c16:uniqueId val="{00000000-AA55-4FDF-9ABF-3FDF2A664883}"/>
            </c:ext>
          </c:extLst>
        </c:ser>
        <c:dLbls>
          <c:showLegendKey val="0"/>
          <c:showVal val="0"/>
          <c:showCatName val="0"/>
          <c:showSerName val="0"/>
          <c:showPercent val="0"/>
          <c:showBubbleSize val="0"/>
        </c:dLbls>
        <c:gapWidth val="100"/>
        <c:overlap val="-24"/>
        <c:axId val="1040478127"/>
        <c:axId val="1040479087"/>
      </c:barChart>
      <c:catAx>
        <c:axId val="1040478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479087"/>
        <c:crosses val="autoZero"/>
        <c:auto val="1"/>
        <c:lblAlgn val="ctr"/>
        <c:lblOffset val="100"/>
        <c:noMultiLvlLbl val="0"/>
      </c:catAx>
      <c:valAx>
        <c:axId val="1040479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047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10 deaths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worldometer_coronavirus_summary!$M$6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worldometer_coronavirus_summary!$L$7:$L$17</c:f>
              <c:strCache>
                <c:ptCount val="10"/>
                <c:pt idx="0">
                  <c:v>Afghanistan</c:v>
                </c:pt>
                <c:pt idx="1">
                  <c:v>Albania</c:v>
                </c:pt>
                <c:pt idx="2">
                  <c:v>Algeria</c:v>
                </c:pt>
                <c:pt idx="3">
                  <c:v>Andorra</c:v>
                </c:pt>
                <c:pt idx="4">
                  <c:v>Angola</c:v>
                </c:pt>
                <c:pt idx="5">
                  <c:v>Anguilla</c:v>
                </c:pt>
                <c:pt idx="6">
                  <c:v>Antigua And Barbuda</c:v>
                </c:pt>
                <c:pt idx="7">
                  <c:v>Argentina</c:v>
                </c:pt>
                <c:pt idx="8">
                  <c:v>Armenia</c:v>
                </c:pt>
                <c:pt idx="9">
                  <c:v>Aruba</c:v>
                </c:pt>
              </c:strCache>
            </c:strRef>
          </c:cat>
          <c:val>
            <c:numRef>
              <c:f>worldometer_coronavirus_summary!$M$7:$M$17</c:f>
              <c:numCache>
                <c:formatCode>General</c:formatCode>
                <c:ptCount val="10"/>
                <c:pt idx="0">
                  <c:v>13146453</c:v>
                </c:pt>
                <c:pt idx="1">
                  <c:v>13146453</c:v>
                </c:pt>
                <c:pt idx="2">
                  <c:v>13146453</c:v>
                </c:pt>
                <c:pt idx="3">
                  <c:v>13146453</c:v>
                </c:pt>
                <c:pt idx="4">
                  <c:v>13146453</c:v>
                </c:pt>
                <c:pt idx="5">
                  <c:v>13146453</c:v>
                </c:pt>
                <c:pt idx="6">
                  <c:v>13146453</c:v>
                </c:pt>
                <c:pt idx="7">
                  <c:v>13146453</c:v>
                </c:pt>
                <c:pt idx="8">
                  <c:v>13146453</c:v>
                </c:pt>
                <c:pt idx="9">
                  <c:v>13146453</c:v>
                </c:pt>
              </c:numCache>
            </c:numRef>
          </c:val>
          <c:extLst>
            <c:ext xmlns:c16="http://schemas.microsoft.com/office/drawing/2014/chart" uri="{C3380CC4-5D6E-409C-BE32-E72D297353CC}">
              <c16:uniqueId val="{00000000-12AF-48B6-AC80-289401B04D3D}"/>
            </c:ext>
          </c:extLst>
        </c:ser>
        <c:dLbls>
          <c:showLegendKey val="0"/>
          <c:showVal val="0"/>
          <c:showCatName val="0"/>
          <c:showSerName val="0"/>
          <c:showPercent val="0"/>
          <c:showBubbleSize val="0"/>
        </c:dLbls>
        <c:gapWidth val="100"/>
        <c:overlap val="-24"/>
        <c:axId val="1037650415"/>
        <c:axId val="588782031"/>
      </c:barChart>
      <c:catAx>
        <c:axId val="1037650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8782031"/>
        <c:crosses val="autoZero"/>
        <c:auto val="1"/>
        <c:lblAlgn val="ctr"/>
        <c:lblOffset val="100"/>
        <c:noMultiLvlLbl val="0"/>
      </c:catAx>
      <c:valAx>
        <c:axId val="5887820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765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affected continents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worldometer_coronavirus_summary!$G$38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6CC-470F-91C2-D196DE3557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6CC-470F-91C2-D196DE3557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6CC-470F-91C2-D196DE3557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6CC-470F-91C2-D196DE3557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6CC-470F-91C2-D196DE3557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26CC-470F-91C2-D196DE3557CC}"/>
              </c:ext>
            </c:extLst>
          </c:dPt>
          <c:cat>
            <c:strRef>
              <c:f>worldometer_coronavirus_summary!$F$39:$F$45</c:f>
              <c:strCache>
                <c:ptCount val="6"/>
                <c:pt idx="0">
                  <c:v>Africa</c:v>
                </c:pt>
                <c:pt idx="1">
                  <c:v>Asia</c:v>
                </c:pt>
                <c:pt idx="2">
                  <c:v>Australia/Oceania</c:v>
                </c:pt>
                <c:pt idx="3">
                  <c:v>Europe</c:v>
                </c:pt>
                <c:pt idx="4">
                  <c:v>North America</c:v>
                </c:pt>
                <c:pt idx="5">
                  <c:v>South America</c:v>
                </c:pt>
              </c:strCache>
            </c:strRef>
          </c:cat>
          <c:val>
            <c:numRef>
              <c:f>worldometer_coronavirus_summary!$G$39:$G$45</c:f>
              <c:numCache>
                <c:formatCode>General</c:formatCode>
                <c:ptCount val="6"/>
                <c:pt idx="0">
                  <c:v>3108822</c:v>
                </c:pt>
                <c:pt idx="1">
                  <c:v>3108822</c:v>
                </c:pt>
                <c:pt idx="2">
                  <c:v>3108822</c:v>
                </c:pt>
                <c:pt idx="3">
                  <c:v>3108822</c:v>
                </c:pt>
                <c:pt idx="4">
                  <c:v>3108822</c:v>
                </c:pt>
                <c:pt idx="5">
                  <c:v>3108822</c:v>
                </c:pt>
              </c:numCache>
            </c:numRef>
          </c:val>
          <c:extLst>
            <c:ext xmlns:c16="http://schemas.microsoft.com/office/drawing/2014/chart" uri="{C3380CC4-5D6E-409C-BE32-E72D297353CC}">
              <c16:uniqueId val="{0000000C-26CC-470F-91C2-D196DE3557C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active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worldometer_coronavirus_summary!$H$52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worldometer_coronavirus_summary!$G$53:$G$63</c:f>
              <c:strCache>
                <c:ptCount val="10"/>
                <c:pt idx="0">
                  <c:v>USA</c:v>
                </c:pt>
                <c:pt idx="1">
                  <c:v>Brazil</c:v>
                </c:pt>
                <c:pt idx="2">
                  <c:v>India</c:v>
                </c:pt>
                <c:pt idx="3">
                  <c:v>Russia</c:v>
                </c:pt>
                <c:pt idx="4">
                  <c:v>UK</c:v>
                </c:pt>
                <c:pt idx="5">
                  <c:v>France</c:v>
                </c:pt>
                <c:pt idx="6">
                  <c:v>Italy</c:v>
                </c:pt>
                <c:pt idx="7">
                  <c:v>Spain</c:v>
                </c:pt>
                <c:pt idx="8">
                  <c:v>Turkey</c:v>
                </c:pt>
                <c:pt idx="9">
                  <c:v>Germany</c:v>
                </c:pt>
              </c:strCache>
            </c:strRef>
          </c:cat>
          <c:val>
            <c:numRef>
              <c:f>worldometer_coronavirus_summary!$H$53:$H$63</c:f>
              <c:numCache>
                <c:formatCode>General</c:formatCode>
                <c:ptCount val="10"/>
                <c:pt idx="0">
                  <c:v>30138586</c:v>
                </c:pt>
                <c:pt idx="1">
                  <c:v>11525477</c:v>
                </c:pt>
                <c:pt idx="2">
                  <c:v>11409831</c:v>
                </c:pt>
                <c:pt idx="3">
                  <c:v>4409438</c:v>
                </c:pt>
                <c:pt idx="4">
                  <c:v>4263527</c:v>
                </c:pt>
                <c:pt idx="5">
                  <c:v>4078133</c:v>
                </c:pt>
                <c:pt idx="6">
                  <c:v>3238394</c:v>
                </c:pt>
                <c:pt idx="7">
                  <c:v>3195062</c:v>
                </c:pt>
                <c:pt idx="8">
                  <c:v>2894893</c:v>
                </c:pt>
                <c:pt idx="9">
                  <c:v>2585385</c:v>
                </c:pt>
              </c:numCache>
            </c:numRef>
          </c:val>
          <c:extLst>
            <c:ext xmlns:c16="http://schemas.microsoft.com/office/drawing/2014/chart" uri="{C3380CC4-5D6E-409C-BE32-E72D297353CC}">
              <c16:uniqueId val="{00000000-4BED-4109-B249-57A2865AD140}"/>
            </c:ext>
          </c:extLst>
        </c:ser>
        <c:dLbls>
          <c:showLegendKey val="0"/>
          <c:showVal val="0"/>
          <c:showCatName val="0"/>
          <c:showSerName val="0"/>
          <c:showPercent val="0"/>
          <c:showBubbleSize val="0"/>
        </c:dLbls>
        <c:gapWidth val="115"/>
        <c:overlap val="-20"/>
        <c:axId val="1434047055"/>
        <c:axId val="1434047535"/>
      </c:barChart>
      <c:catAx>
        <c:axId val="143404705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4047535"/>
        <c:crosses val="autoZero"/>
        <c:auto val="1"/>
        <c:lblAlgn val="ctr"/>
        <c:lblOffset val="100"/>
        <c:noMultiLvlLbl val="0"/>
      </c:catAx>
      <c:valAx>
        <c:axId val="14340475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404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Maximum new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worldometer_coronavirus_summary!$G$70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worldometer_coronavirus_summary!$F$71:$F$83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worldometer_coronavirus_summary!$G$71:$G$83</c:f>
              <c:numCache>
                <c:formatCode>General</c:formatCode>
                <c:ptCount val="12"/>
                <c:pt idx="0">
                  <c:v>13766</c:v>
                </c:pt>
                <c:pt idx="1">
                  <c:v>55375</c:v>
                </c:pt>
                <c:pt idx="2">
                  <c:v>435</c:v>
                </c:pt>
                <c:pt idx="3">
                  <c:v>1997</c:v>
                </c:pt>
                <c:pt idx="4">
                  <c:v>13034</c:v>
                </c:pt>
                <c:pt idx="5">
                  <c:v>16312</c:v>
                </c:pt>
                <c:pt idx="6">
                  <c:v>5158</c:v>
                </c:pt>
                <c:pt idx="7">
                  <c:v>1490</c:v>
                </c:pt>
                <c:pt idx="8">
                  <c:v>1103</c:v>
                </c:pt>
                <c:pt idx="9">
                  <c:v>2157</c:v>
                </c:pt>
                <c:pt idx="10">
                  <c:v>5073</c:v>
                </c:pt>
                <c:pt idx="11">
                  <c:v>6015</c:v>
                </c:pt>
              </c:numCache>
            </c:numRef>
          </c:val>
          <c:smooth val="0"/>
          <c:extLst>
            <c:ext xmlns:c16="http://schemas.microsoft.com/office/drawing/2014/chart" uri="{C3380CC4-5D6E-409C-BE32-E72D297353CC}">
              <c16:uniqueId val="{00000000-1F05-499F-A202-58B2A8A97B83}"/>
            </c:ext>
          </c:extLst>
        </c:ser>
        <c:dLbls>
          <c:showLegendKey val="0"/>
          <c:showVal val="0"/>
          <c:showCatName val="0"/>
          <c:showSerName val="0"/>
          <c:showPercent val="0"/>
          <c:showBubbleSize val="0"/>
        </c:dLbls>
        <c:marker val="1"/>
        <c:smooth val="0"/>
        <c:axId val="1038988879"/>
        <c:axId val="1769262479"/>
      </c:lineChart>
      <c:catAx>
        <c:axId val="103898887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9262479"/>
        <c:crosses val="autoZero"/>
        <c:auto val="1"/>
        <c:lblAlgn val="ctr"/>
        <c:lblOffset val="100"/>
        <c:noMultiLvlLbl val="0"/>
      </c:catAx>
      <c:valAx>
        <c:axId val="17692624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9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new cases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worldometer_coronavirus_summary!$B$1</c:f>
              <c:strCache>
                <c:ptCount val="1"/>
                <c:pt idx="0">
                  <c:v>Total</c:v>
                </c:pt>
              </c:strCache>
            </c:strRef>
          </c:tx>
          <c:spPr>
            <a:solidFill>
              <a:schemeClr val="accent1"/>
            </a:solidFill>
            <a:ln>
              <a:noFill/>
            </a:ln>
            <a:effectLst/>
          </c:spPr>
          <c:invertIfNegative val="0"/>
          <c:cat>
            <c:strRef>
              <c:f>worldometer_coronavirus_summary!$A$2:$A$12</c:f>
              <c:strCache>
                <c:ptCount val="10"/>
                <c:pt idx="0">
                  <c:v>Argentina</c:v>
                </c:pt>
                <c:pt idx="1">
                  <c:v>Anguilla</c:v>
                </c:pt>
                <c:pt idx="2">
                  <c:v>Aruba</c:v>
                </c:pt>
                <c:pt idx="3">
                  <c:v>Albania</c:v>
                </c:pt>
                <c:pt idx="4">
                  <c:v>Antigua And Barbuda</c:v>
                </c:pt>
                <c:pt idx="5">
                  <c:v>Algeria</c:v>
                </c:pt>
                <c:pt idx="6">
                  <c:v>Armenia</c:v>
                </c:pt>
                <c:pt idx="7">
                  <c:v>Andorra</c:v>
                </c:pt>
                <c:pt idx="8">
                  <c:v>Afghanistan</c:v>
                </c:pt>
                <c:pt idx="9">
                  <c:v>Angola</c:v>
                </c:pt>
              </c:strCache>
            </c:strRef>
          </c:cat>
          <c:val>
            <c:numRef>
              <c:f>worldometer_coronavirus_summary!$B$2:$B$12</c:f>
              <c:numCache>
                <c:formatCode>General</c:formatCode>
                <c:ptCount val="10"/>
                <c:pt idx="0">
                  <c:v>121915</c:v>
                </c:pt>
                <c:pt idx="1">
                  <c:v>121915</c:v>
                </c:pt>
                <c:pt idx="2">
                  <c:v>121915</c:v>
                </c:pt>
                <c:pt idx="3">
                  <c:v>121915</c:v>
                </c:pt>
                <c:pt idx="4">
                  <c:v>121915</c:v>
                </c:pt>
                <c:pt idx="5">
                  <c:v>121915</c:v>
                </c:pt>
                <c:pt idx="6">
                  <c:v>121915</c:v>
                </c:pt>
                <c:pt idx="7">
                  <c:v>121915</c:v>
                </c:pt>
                <c:pt idx="8">
                  <c:v>121915</c:v>
                </c:pt>
                <c:pt idx="9">
                  <c:v>121915</c:v>
                </c:pt>
              </c:numCache>
            </c:numRef>
          </c:val>
          <c:extLst>
            <c:ext xmlns:c16="http://schemas.microsoft.com/office/drawing/2014/chart" uri="{C3380CC4-5D6E-409C-BE32-E72D297353CC}">
              <c16:uniqueId val="{00000000-8575-4211-B04A-60A4DFE12931}"/>
            </c:ext>
          </c:extLst>
        </c:ser>
        <c:dLbls>
          <c:showLegendKey val="0"/>
          <c:showVal val="0"/>
          <c:showCatName val="0"/>
          <c:showSerName val="0"/>
          <c:showPercent val="0"/>
          <c:showBubbleSize val="0"/>
        </c:dLbls>
        <c:gapWidth val="219"/>
        <c:overlap val="-27"/>
        <c:axId val="1040478127"/>
        <c:axId val="1040479087"/>
      </c:barChart>
      <c:catAx>
        <c:axId val="104047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79087"/>
        <c:crosses val="autoZero"/>
        <c:auto val="1"/>
        <c:lblAlgn val="ctr"/>
        <c:lblOffset val="100"/>
        <c:noMultiLvlLbl val="0"/>
      </c:catAx>
      <c:valAx>
        <c:axId val="104047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78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deaths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worldometer_coronavirus_summary!$M$6</c:f>
              <c:strCache>
                <c:ptCount val="1"/>
                <c:pt idx="0">
                  <c:v>Total</c:v>
                </c:pt>
              </c:strCache>
            </c:strRef>
          </c:tx>
          <c:spPr>
            <a:solidFill>
              <a:schemeClr val="accent1"/>
            </a:solidFill>
            <a:ln>
              <a:noFill/>
            </a:ln>
            <a:effectLst/>
          </c:spPr>
          <c:invertIfNegative val="0"/>
          <c:cat>
            <c:strRef>
              <c:f>worldometer_coronavirus_summary!$L$7:$L$17</c:f>
              <c:strCache>
                <c:ptCount val="10"/>
                <c:pt idx="0">
                  <c:v>Afghanistan</c:v>
                </c:pt>
                <c:pt idx="1">
                  <c:v>Albania</c:v>
                </c:pt>
                <c:pt idx="2">
                  <c:v>Algeria</c:v>
                </c:pt>
                <c:pt idx="3">
                  <c:v>Andorra</c:v>
                </c:pt>
                <c:pt idx="4">
                  <c:v>Angola</c:v>
                </c:pt>
                <c:pt idx="5">
                  <c:v>Anguilla</c:v>
                </c:pt>
                <c:pt idx="6">
                  <c:v>Antigua And Barbuda</c:v>
                </c:pt>
                <c:pt idx="7">
                  <c:v>Argentina</c:v>
                </c:pt>
                <c:pt idx="8">
                  <c:v>Armenia</c:v>
                </c:pt>
                <c:pt idx="9">
                  <c:v>Aruba</c:v>
                </c:pt>
              </c:strCache>
            </c:strRef>
          </c:cat>
          <c:val>
            <c:numRef>
              <c:f>worldometer_coronavirus_summary!$M$7:$M$17</c:f>
              <c:numCache>
                <c:formatCode>General</c:formatCode>
                <c:ptCount val="10"/>
                <c:pt idx="0">
                  <c:v>13146453</c:v>
                </c:pt>
                <c:pt idx="1">
                  <c:v>13146453</c:v>
                </c:pt>
                <c:pt idx="2">
                  <c:v>13146453</c:v>
                </c:pt>
                <c:pt idx="3">
                  <c:v>13146453</c:v>
                </c:pt>
                <c:pt idx="4">
                  <c:v>13146453</c:v>
                </c:pt>
                <c:pt idx="5">
                  <c:v>13146453</c:v>
                </c:pt>
                <c:pt idx="6">
                  <c:v>13146453</c:v>
                </c:pt>
                <c:pt idx="7">
                  <c:v>13146453</c:v>
                </c:pt>
                <c:pt idx="8">
                  <c:v>13146453</c:v>
                </c:pt>
                <c:pt idx="9">
                  <c:v>13146453</c:v>
                </c:pt>
              </c:numCache>
            </c:numRef>
          </c:val>
          <c:extLst>
            <c:ext xmlns:c16="http://schemas.microsoft.com/office/drawing/2014/chart" uri="{C3380CC4-5D6E-409C-BE32-E72D297353CC}">
              <c16:uniqueId val="{00000000-F8F4-4F9D-8080-03ABBA1E231F}"/>
            </c:ext>
          </c:extLst>
        </c:ser>
        <c:dLbls>
          <c:showLegendKey val="0"/>
          <c:showVal val="0"/>
          <c:showCatName val="0"/>
          <c:showSerName val="0"/>
          <c:showPercent val="0"/>
          <c:showBubbleSize val="0"/>
        </c:dLbls>
        <c:gapWidth val="219"/>
        <c:overlap val="-27"/>
        <c:axId val="1037650415"/>
        <c:axId val="588782031"/>
      </c:barChart>
      <c:catAx>
        <c:axId val="10376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782031"/>
        <c:crosses val="autoZero"/>
        <c:auto val="1"/>
        <c:lblAlgn val="ctr"/>
        <c:lblOffset val="100"/>
        <c:noMultiLvlLbl val="0"/>
      </c:catAx>
      <c:valAx>
        <c:axId val="58878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650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affected continents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worldometer_coronavirus_summary!$G$38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EC-440A-8384-F96BC2C27B2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EC-440A-8384-F96BC2C27B2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EC-440A-8384-F96BC2C27B2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4EC-440A-8384-F96BC2C27B2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4EC-440A-8384-F96BC2C27B2D}"/>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4EC-440A-8384-F96BC2C27B2D}"/>
              </c:ext>
            </c:extLst>
          </c:dPt>
          <c:cat>
            <c:strRef>
              <c:f>worldometer_coronavirus_summary!$F$39:$F$45</c:f>
              <c:strCache>
                <c:ptCount val="6"/>
                <c:pt idx="0">
                  <c:v>Africa</c:v>
                </c:pt>
                <c:pt idx="1">
                  <c:v>Asia</c:v>
                </c:pt>
                <c:pt idx="2">
                  <c:v>Australia/Oceania</c:v>
                </c:pt>
                <c:pt idx="3">
                  <c:v>Europe</c:v>
                </c:pt>
                <c:pt idx="4">
                  <c:v>North America</c:v>
                </c:pt>
                <c:pt idx="5">
                  <c:v>South America</c:v>
                </c:pt>
              </c:strCache>
            </c:strRef>
          </c:cat>
          <c:val>
            <c:numRef>
              <c:f>worldometer_coronavirus_summary!$G$39:$G$45</c:f>
              <c:numCache>
                <c:formatCode>General</c:formatCode>
                <c:ptCount val="6"/>
                <c:pt idx="0">
                  <c:v>3108822</c:v>
                </c:pt>
                <c:pt idx="1">
                  <c:v>3108822</c:v>
                </c:pt>
                <c:pt idx="2">
                  <c:v>3108822</c:v>
                </c:pt>
                <c:pt idx="3">
                  <c:v>3108822</c:v>
                </c:pt>
                <c:pt idx="4">
                  <c:v>3108822</c:v>
                </c:pt>
                <c:pt idx="5">
                  <c:v>3108822</c:v>
                </c:pt>
              </c:numCache>
            </c:numRef>
          </c:val>
          <c:extLst>
            <c:ext xmlns:c16="http://schemas.microsoft.com/office/drawing/2014/chart" uri="{C3380CC4-5D6E-409C-BE32-E72D297353CC}">
              <c16:uniqueId val="{00000000-A486-4859-B973-B0252EBF531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Most</a:t>
            </a:r>
            <a:r>
              <a:rPr lang="en-IN" baseline="0"/>
              <a:t> active Cases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worldometer_coronavirus_summary!$H$52</c:f>
              <c:strCache>
                <c:ptCount val="1"/>
                <c:pt idx="0">
                  <c:v>Total</c:v>
                </c:pt>
              </c:strCache>
            </c:strRef>
          </c:tx>
          <c:spPr>
            <a:solidFill>
              <a:schemeClr val="accent1"/>
            </a:solidFill>
            <a:ln>
              <a:noFill/>
            </a:ln>
            <a:effectLst/>
          </c:spPr>
          <c:invertIfNegative val="0"/>
          <c:cat>
            <c:strRef>
              <c:f>worldometer_coronavirus_summary!$G$53:$G$63</c:f>
              <c:strCache>
                <c:ptCount val="10"/>
                <c:pt idx="0">
                  <c:v>USA</c:v>
                </c:pt>
                <c:pt idx="1">
                  <c:v>Brazil</c:v>
                </c:pt>
                <c:pt idx="2">
                  <c:v>India</c:v>
                </c:pt>
                <c:pt idx="3">
                  <c:v>Russia</c:v>
                </c:pt>
                <c:pt idx="4">
                  <c:v>UK</c:v>
                </c:pt>
                <c:pt idx="5">
                  <c:v>France</c:v>
                </c:pt>
                <c:pt idx="6">
                  <c:v>Italy</c:v>
                </c:pt>
                <c:pt idx="7">
                  <c:v>Spain</c:v>
                </c:pt>
                <c:pt idx="8">
                  <c:v>Turkey</c:v>
                </c:pt>
                <c:pt idx="9">
                  <c:v>Germany</c:v>
                </c:pt>
              </c:strCache>
            </c:strRef>
          </c:cat>
          <c:val>
            <c:numRef>
              <c:f>worldometer_coronavirus_summary!$H$53:$H$63</c:f>
              <c:numCache>
                <c:formatCode>General</c:formatCode>
                <c:ptCount val="10"/>
                <c:pt idx="0">
                  <c:v>30138586</c:v>
                </c:pt>
                <c:pt idx="1">
                  <c:v>11525477</c:v>
                </c:pt>
                <c:pt idx="2">
                  <c:v>11409831</c:v>
                </c:pt>
                <c:pt idx="3">
                  <c:v>4409438</c:v>
                </c:pt>
                <c:pt idx="4">
                  <c:v>4263527</c:v>
                </c:pt>
                <c:pt idx="5">
                  <c:v>4078133</c:v>
                </c:pt>
                <c:pt idx="6">
                  <c:v>3238394</c:v>
                </c:pt>
                <c:pt idx="7">
                  <c:v>3195062</c:v>
                </c:pt>
                <c:pt idx="8">
                  <c:v>2894893</c:v>
                </c:pt>
                <c:pt idx="9">
                  <c:v>2585385</c:v>
                </c:pt>
              </c:numCache>
            </c:numRef>
          </c:val>
          <c:extLst>
            <c:ext xmlns:c16="http://schemas.microsoft.com/office/drawing/2014/chart" uri="{C3380CC4-5D6E-409C-BE32-E72D297353CC}">
              <c16:uniqueId val="{00000000-1763-4445-86E3-3C705159E8E3}"/>
            </c:ext>
          </c:extLst>
        </c:ser>
        <c:dLbls>
          <c:showLegendKey val="0"/>
          <c:showVal val="0"/>
          <c:showCatName val="0"/>
          <c:showSerName val="0"/>
          <c:showPercent val="0"/>
          <c:showBubbleSize val="0"/>
        </c:dLbls>
        <c:gapWidth val="182"/>
        <c:axId val="1434047055"/>
        <c:axId val="1434047535"/>
      </c:barChart>
      <c:catAx>
        <c:axId val="1434047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047535"/>
        <c:crosses val="autoZero"/>
        <c:auto val="1"/>
        <c:lblAlgn val="ctr"/>
        <c:lblOffset val="100"/>
        <c:noMultiLvlLbl val="0"/>
      </c:catAx>
      <c:valAx>
        <c:axId val="143404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047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9.xlsx]worldometer_coronavirus_summary!PivotTable5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Maximum</a:t>
            </a:r>
            <a:r>
              <a:rPr lang="en-IN" baseline="0"/>
              <a:t> new cases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worldometer_coronavirus_summary!$G$70</c:f>
              <c:strCache>
                <c:ptCount val="1"/>
                <c:pt idx="0">
                  <c:v>Total</c:v>
                </c:pt>
              </c:strCache>
            </c:strRef>
          </c:tx>
          <c:spPr>
            <a:ln w="28575" cap="rnd">
              <a:solidFill>
                <a:schemeClr val="accent1"/>
              </a:solidFill>
              <a:round/>
            </a:ln>
            <a:effectLst/>
          </c:spPr>
          <c:marker>
            <c:symbol val="none"/>
          </c:marker>
          <c:cat>
            <c:strRef>
              <c:f>worldometer_coronavirus_summary!$F$71:$F$83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worldometer_coronavirus_summary!$G$71:$G$83</c:f>
              <c:numCache>
                <c:formatCode>General</c:formatCode>
                <c:ptCount val="12"/>
                <c:pt idx="0">
                  <c:v>13766</c:v>
                </c:pt>
                <c:pt idx="1">
                  <c:v>55375</c:v>
                </c:pt>
                <c:pt idx="2">
                  <c:v>435</c:v>
                </c:pt>
                <c:pt idx="3">
                  <c:v>1997</c:v>
                </c:pt>
                <c:pt idx="4">
                  <c:v>13034</c:v>
                </c:pt>
                <c:pt idx="5">
                  <c:v>16312</c:v>
                </c:pt>
                <c:pt idx="6">
                  <c:v>5158</c:v>
                </c:pt>
                <c:pt idx="7">
                  <c:v>1490</c:v>
                </c:pt>
                <c:pt idx="8">
                  <c:v>1103</c:v>
                </c:pt>
                <c:pt idx="9">
                  <c:v>2157</c:v>
                </c:pt>
                <c:pt idx="10">
                  <c:v>5073</c:v>
                </c:pt>
                <c:pt idx="11">
                  <c:v>6015</c:v>
                </c:pt>
              </c:numCache>
            </c:numRef>
          </c:val>
          <c:smooth val="0"/>
          <c:extLst>
            <c:ext xmlns:c16="http://schemas.microsoft.com/office/drawing/2014/chart" uri="{C3380CC4-5D6E-409C-BE32-E72D297353CC}">
              <c16:uniqueId val="{00000000-3436-470F-BDEE-0D5E8DA6ED47}"/>
            </c:ext>
          </c:extLst>
        </c:ser>
        <c:dLbls>
          <c:showLegendKey val="0"/>
          <c:showVal val="0"/>
          <c:showCatName val="0"/>
          <c:showSerName val="0"/>
          <c:showPercent val="0"/>
          <c:showBubbleSize val="0"/>
        </c:dLbls>
        <c:smooth val="0"/>
        <c:axId val="1038988879"/>
        <c:axId val="1769262479"/>
      </c:lineChart>
      <c:catAx>
        <c:axId val="1038988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9262479"/>
        <c:crosses val="autoZero"/>
        <c:auto val="1"/>
        <c:lblAlgn val="ctr"/>
        <c:lblOffset val="100"/>
        <c:noMultiLvlLbl val="0"/>
      </c:catAx>
      <c:valAx>
        <c:axId val="176926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98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0</xdr:colOff>
      <xdr:row>43</xdr:row>
      <xdr:rowOff>60959</xdr:rowOff>
    </xdr:from>
    <xdr:to>
      <xdr:col>22</xdr:col>
      <xdr:colOff>30480</xdr:colOff>
      <xdr:row>58</xdr:row>
      <xdr:rowOff>2698</xdr:rowOff>
    </xdr:to>
    <xdr:graphicFrame macro="">
      <xdr:nvGraphicFramePr>
        <xdr:cNvPr id="2" name="Chart 1">
          <a:extLst>
            <a:ext uri="{FF2B5EF4-FFF2-40B4-BE49-F238E27FC236}">
              <a16:creationId xmlns:a16="http://schemas.microsoft.com/office/drawing/2014/main" id="{388AD9ED-BB98-4F70-9DDF-4F11C3105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297655</xdr:colOff>
      <xdr:row>12</xdr:row>
      <xdr:rowOff>167640</xdr:rowOff>
    </xdr:from>
    <xdr:to>
      <xdr:col>22</xdr:col>
      <xdr:colOff>15240</xdr:colOff>
      <xdr:row>27</xdr:row>
      <xdr:rowOff>176054</xdr:rowOff>
    </xdr:to>
    <xdr:graphicFrame macro="">
      <xdr:nvGraphicFramePr>
        <xdr:cNvPr id="3" name="Chart 2">
          <a:extLst>
            <a:ext uri="{FF2B5EF4-FFF2-40B4-BE49-F238E27FC236}">
              <a16:creationId xmlns:a16="http://schemas.microsoft.com/office/drawing/2014/main" id="{F338A5DE-8564-4112-91FA-3953988DC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35718</xdr:colOff>
      <xdr:row>27</xdr:row>
      <xdr:rowOff>76200</xdr:rowOff>
    </xdr:from>
    <xdr:to>
      <xdr:col>22</xdr:col>
      <xdr:colOff>30479</xdr:colOff>
      <xdr:row>43</xdr:row>
      <xdr:rowOff>74613</xdr:rowOff>
    </xdr:to>
    <xdr:graphicFrame macro="">
      <xdr:nvGraphicFramePr>
        <xdr:cNvPr id="4" name="Chart 3">
          <a:extLst>
            <a:ext uri="{FF2B5EF4-FFF2-40B4-BE49-F238E27FC236}">
              <a16:creationId xmlns:a16="http://schemas.microsoft.com/office/drawing/2014/main" id="{4728B993-BF47-477F-8316-8FC64CE2C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594360</xdr:colOff>
      <xdr:row>27</xdr:row>
      <xdr:rowOff>167640</xdr:rowOff>
    </xdr:from>
    <xdr:to>
      <xdr:col>13</xdr:col>
      <xdr:colOff>137160</xdr:colOff>
      <xdr:row>43</xdr:row>
      <xdr:rowOff>86518</xdr:rowOff>
    </xdr:to>
    <xdr:graphicFrame macro="">
      <xdr:nvGraphicFramePr>
        <xdr:cNvPr id="5" name="Chart 4">
          <a:extLst>
            <a:ext uri="{FF2B5EF4-FFF2-40B4-BE49-F238E27FC236}">
              <a16:creationId xmlns:a16="http://schemas.microsoft.com/office/drawing/2014/main" id="{FF95E110-F015-43BF-B2B1-07E96C7A6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579120</xdr:colOff>
      <xdr:row>13</xdr:row>
      <xdr:rowOff>30480</xdr:rowOff>
    </xdr:from>
    <xdr:to>
      <xdr:col>13</xdr:col>
      <xdr:colOff>303955</xdr:colOff>
      <xdr:row>28</xdr:row>
      <xdr:rowOff>38895</xdr:rowOff>
    </xdr:to>
    <xdr:graphicFrame macro="">
      <xdr:nvGraphicFramePr>
        <xdr:cNvPr id="6" name="Chart 5">
          <a:extLst>
            <a:ext uri="{FF2B5EF4-FFF2-40B4-BE49-F238E27FC236}">
              <a16:creationId xmlns:a16="http://schemas.microsoft.com/office/drawing/2014/main" id="{6AA456A5-BDD6-476D-94E3-0E80B8FE2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60960</xdr:colOff>
      <xdr:row>38</xdr:row>
      <xdr:rowOff>106680</xdr:rowOff>
    </xdr:from>
    <xdr:to>
      <xdr:col>25</xdr:col>
      <xdr:colOff>30480</xdr:colOff>
      <xdr:row>58</xdr:row>
      <xdr:rowOff>45720</xdr:rowOff>
    </xdr:to>
    <mc:AlternateContent xmlns:mc="http://schemas.openxmlformats.org/markup-compatibility/2006" xmlns:a14="http://schemas.microsoft.com/office/drawing/2010/main">
      <mc:Choice Requires="a14">
        <xdr:graphicFrame macro="">
          <xdr:nvGraphicFramePr>
            <xdr:cNvPr id="7" name="continent">
              <a:extLst>
                <a:ext uri="{FF2B5EF4-FFF2-40B4-BE49-F238E27FC236}">
                  <a16:creationId xmlns:a16="http://schemas.microsoft.com/office/drawing/2014/main" id="{9962D567-C5C5-755C-B7C0-C32B0F8DB1A7}"/>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mlns="">
        <xdr:sp macro="" textlink="">
          <xdr:nvSpPr>
            <xdr:cNvPr id="0" name=""/>
            <xdr:cNvSpPr>
              <a:spLocks noTextEdit="1"/>
            </xdr:cNvSpPr>
          </xdr:nvSpPr>
          <xdr:spPr>
            <a:xfrm>
              <a:off x="13472160" y="7056120"/>
              <a:ext cx="1798320" cy="3596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30480</xdr:colOff>
      <xdr:row>11</xdr:row>
      <xdr:rowOff>15240</xdr:rowOff>
    </xdr:from>
    <xdr:to>
      <xdr:col>25</xdr:col>
      <xdr:colOff>30480</xdr:colOff>
      <xdr:row>38</xdr:row>
      <xdr:rowOff>91440</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EE0C8144-35B5-66E1-B3A7-A455B76EFD6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441680" y="2026920"/>
              <a:ext cx="1828800" cy="5013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281940</xdr:colOff>
      <xdr:row>5</xdr:row>
      <xdr:rowOff>167640</xdr:rowOff>
    </xdr:from>
    <xdr:to>
      <xdr:col>9</xdr:col>
      <xdr:colOff>342900</xdr:colOff>
      <xdr:row>20</xdr:row>
      <xdr:rowOff>175260</xdr:rowOff>
    </xdr:to>
    <xdr:graphicFrame macro="">
      <xdr:nvGraphicFramePr>
        <xdr:cNvPr id="2" name="Chart 1">
          <a:extLst>
            <a:ext uri="{FF2B5EF4-FFF2-40B4-BE49-F238E27FC236}">
              <a16:creationId xmlns:a16="http://schemas.microsoft.com/office/drawing/2014/main" id="{54880C4C-7909-9BCF-4851-F3A87B86AF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xdr:colOff>
      <xdr:row>17</xdr:row>
      <xdr:rowOff>7620</xdr:rowOff>
    </xdr:from>
    <xdr:to>
      <xdr:col>13</xdr:col>
      <xdr:colOff>922020</xdr:colOff>
      <xdr:row>32</xdr:row>
      <xdr:rowOff>7620</xdr:rowOff>
    </xdr:to>
    <xdr:graphicFrame macro="">
      <xdr:nvGraphicFramePr>
        <xdr:cNvPr id="3" name="Chart 2">
          <a:extLst>
            <a:ext uri="{FF2B5EF4-FFF2-40B4-BE49-F238E27FC236}">
              <a16:creationId xmlns:a16="http://schemas.microsoft.com/office/drawing/2014/main" id="{FD8B9613-2875-3435-C58A-BCEF7BBD2F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598170</xdr:colOff>
      <xdr:row>34</xdr:row>
      <xdr:rowOff>99060</xdr:rowOff>
    </xdr:from>
    <xdr:to>
      <xdr:col>12</xdr:col>
      <xdr:colOff>1512570</xdr:colOff>
      <xdr:row>49</xdr:row>
      <xdr:rowOff>99060</xdr:rowOff>
    </xdr:to>
    <xdr:graphicFrame macro="">
      <xdr:nvGraphicFramePr>
        <xdr:cNvPr id="4" name="Chart 3">
          <a:extLst>
            <a:ext uri="{FF2B5EF4-FFF2-40B4-BE49-F238E27FC236}">
              <a16:creationId xmlns:a16="http://schemas.microsoft.com/office/drawing/2014/main" id="{12BB42AF-E3A9-FD73-FDA4-EB0AEB89A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34290</xdr:colOff>
      <xdr:row>51</xdr:row>
      <xdr:rowOff>91440</xdr:rowOff>
    </xdr:from>
    <xdr:to>
      <xdr:col>12</xdr:col>
      <xdr:colOff>1558290</xdr:colOff>
      <xdr:row>66</xdr:row>
      <xdr:rowOff>91440</xdr:rowOff>
    </xdr:to>
    <xdr:graphicFrame macro="">
      <xdr:nvGraphicFramePr>
        <xdr:cNvPr id="5" name="Chart 4">
          <a:extLst>
            <a:ext uri="{FF2B5EF4-FFF2-40B4-BE49-F238E27FC236}">
              <a16:creationId xmlns:a16="http://schemas.microsoft.com/office/drawing/2014/main" id="{3A26640F-73F6-B0BF-C7CE-20DC19ABDC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300990</xdr:colOff>
      <xdr:row>69</xdr:row>
      <xdr:rowOff>152400</xdr:rowOff>
    </xdr:from>
    <xdr:to>
      <xdr:col>12</xdr:col>
      <xdr:colOff>384810</xdr:colOff>
      <xdr:row>84</xdr:row>
      <xdr:rowOff>152400</xdr:rowOff>
    </xdr:to>
    <xdr:graphicFrame macro="">
      <xdr:nvGraphicFramePr>
        <xdr:cNvPr id="6" name="Chart 5">
          <a:extLst>
            <a:ext uri="{FF2B5EF4-FFF2-40B4-BE49-F238E27FC236}">
              <a16:creationId xmlns:a16="http://schemas.microsoft.com/office/drawing/2014/main" id="{0A00BBA1-F27D-EF93-4DFF-90D29D12F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3.494777430555" backgroundQuery="1" createdVersion="8" refreshedVersion="8" minRefreshableVersion="3" recordCount="0" supportSubquery="1" supportAdvancedDrill="1" xr:uid="{0A2A9E29-93F3-46E8-945D-E3FFDE8501E4}">
  <cacheSource type="external" connectionId="3"/>
  <cacheFields count="3">
    <cacheField name="[Measures].[Sum of daily_new_cases]" caption="Sum of daily_new_cases" numFmtId="0" hierarchy="26" level="32767"/>
    <cacheField name="[worldometer_coronavirus_summary_data].[country].[country]" caption="country" numFmtId="0" hierarchy="10" level="1">
      <sharedItems count="10">
        <s v="Afghanistan"/>
        <s v="Albania"/>
        <s v="Algeria"/>
        <s v="Andorra"/>
        <s v="Angola"/>
        <s v="Anguilla"/>
        <s v="Antigua And Barbuda"/>
        <s v="Argentina"/>
        <s v="Armenia"/>
        <s v="Aruba"/>
      </sharedItems>
    </cacheField>
    <cacheField name="[worldometer_coronavirus_summary_data].[continent].[continent]" caption="continent" numFmtId="0" hierarchy="11" level="1">
      <sharedItems containsSemiMixedTypes="0" containsNonDate="0" containsString="0"/>
    </cacheField>
  </cacheFields>
  <cacheHierarchies count="32">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2"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2"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2" memberValueDatatype="20"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2"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2"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2"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2"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2"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2"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2"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1"/>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2" memberValueDatatype="20"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2" memberValueDatatype="20"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2" memberValueDatatype="20"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2" memberValueDatatype="20"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2" memberValueDatatype="20"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2" memberValueDatatype="20"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2" memberValueDatatype="20"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2" memberValueDatatype="20"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2" memberValueDatatype="20"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2" memberValueDatatype="20"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2"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count="0" hidden="1">
      <extLst>
        <ext xmlns:x15="http://schemas.microsoft.com/office/spreadsheetml/2010/11/main" uri="{B97F6D7D-B522-45F9-BDA1-12C45D357490}">
          <x15:cacheHierarchy aggregatedColumn="6"/>
        </ext>
      </extLst>
    </cacheHierarchy>
    <cacheHierarchy uniqueName="[Measures].[Sum of cumulative_total_cases]" caption="Sum of cumulative_total_cases" measure="1" displayFolder="" measureGroup="worldometer_coronavirus_daily_data" count="0" hidden="1">
      <extLst>
        <ext xmlns:x15="http://schemas.microsoft.com/office/spreadsheetml/2010/11/main" uri="{B97F6D7D-B522-45F9-BDA1-12C45D357490}">
          <x15:cacheHierarchy aggregatedColumn="2"/>
        </ext>
      </extLst>
    </cacheHierarchy>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active_cases]" caption="Sum of active_cases" measure="1" displayFolder="" measureGroup="worldometer_coronavirus_daily_data"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3.494774884261" backgroundQuery="1" createdVersion="8" refreshedVersion="8" minRefreshableVersion="3" recordCount="0" supportSubquery="1" supportAdvancedDrill="1" xr:uid="{A65883B5-6AE6-4C70-B930-EC8E269BE6CF}">
  <cacheSource type="external" connectionId="3"/>
  <cacheFields count="3">
    <cacheField name="[worldometer_coronavirus_summary_data].[country].[country]" caption="country" numFmtId="0" hierarchy="10" level="1">
      <sharedItems count="10">
        <s v="Afghanistan"/>
        <s v="Albania"/>
        <s v="Algeria"/>
        <s v="Andorra"/>
        <s v="Angola"/>
        <s v="Anguilla"/>
        <s v="Antigua And Barbuda"/>
        <s v="Argentina"/>
        <s v="Armenia"/>
        <s v="Aruba"/>
      </sharedItems>
    </cacheField>
    <cacheField name="[Measures].[Sum of cumulative_total_cases]" caption="Sum of cumulative_total_cases" numFmtId="0" hierarchy="28" level="32767"/>
    <cacheField name="[worldometer_coronavirus_summary_data].[continent].[continent]" caption="continent" numFmtId="0" hierarchy="11" level="1">
      <sharedItems containsSemiMixedTypes="0" containsNonDate="0" containsString="0"/>
    </cacheField>
  </cacheFields>
  <cacheHierarchies count="32">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20"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20"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20"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20"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20"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20"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20"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20"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20"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20"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20"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count="0" hidden="1">
      <extLst>
        <ext xmlns:x15="http://schemas.microsoft.com/office/spreadsheetml/2010/11/main" uri="{B97F6D7D-B522-45F9-BDA1-12C45D357490}">
          <x15:cacheHierarchy aggregatedColumn="6"/>
        </ext>
      </extLst>
    </cacheHierarchy>
    <cacheHierarchy uniqueName="[Measures].[Sum of cumulative_total_cases]" caption="Sum of cumulative_total_cases" measure="1" displayFolder="" measureGroup="worldometer_coronavirus_daily_data"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active_cases]" caption="Sum of active_cases" measure="1" displayFolder="" measureGroup="worldometer_coronavirus_daily_data"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3.494776157408" backgroundQuery="1" createdVersion="8" refreshedVersion="8" minRefreshableVersion="3" recordCount="0" supportSubquery="1" supportAdvancedDrill="1" xr:uid="{A501B624-8F5D-4469-96FD-250B316B1AE2}">
  <cacheSource type="external" connectionId="3"/>
  <cacheFields count="3">
    <cacheField name="[worldometer_coronavirus_summary_data].[country].[country]" caption="country" numFmtId="0" hierarchy="10" level="1">
      <sharedItems count="10">
        <s v="Brazil"/>
        <s v="France"/>
        <s v="Germany"/>
        <s v="India"/>
        <s v="Italy"/>
        <s v="Russia"/>
        <s v="Spain"/>
        <s v="Turkey"/>
        <s v="UK"/>
        <s v="USA"/>
      </sharedItems>
    </cacheField>
    <cacheField name="[Measures].[Sum of total_confirmed]" caption="Sum of total_confirmed" numFmtId="0" hierarchy="29" level="32767"/>
    <cacheField name="[worldometer_coronavirus_summary_data].[continent].[continent]" caption="continent" numFmtId="0" hierarchy="11" level="1">
      <sharedItems containsSemiMixedTypes="0" containsNonDate="0" containsString="0"/>
    </cacheField>
  </cacheFields>
  <cacheHierarchies count="32">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20"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20"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20"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20"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20"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20"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20"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20"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20"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20"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20"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count="0" hidden="1">
      <extLst>
        <ext xmlns:x15="http://schemas.microsoft.com/office/spreadsheetml/2010/11/main" uri="{B97F6D7D-B522-45F9-BDA1-12C45D357490}">
          <x15:cacheHierarchy aggregatedColumn="6"/>
        </ext>
      </extLst>
    </cacheHierarchy>
    <cacheHierarchy uniqueName="[Measures].[Sum of cumulative_total_cases]" caption="Sum of cumulative_total_cases" measure="1" displayFolder="" measureGroup="worldometer_coronavirus_daily_data" count="0" hidden="1">
      <extLst>
        <ext xmlns:x15="http://schemas.microsoft.com/office/spreadsheetml/2010/11/main" uri="{B97F6D7D-B522-45F9-BDA1-12C45D357490}">
          <x15:cacheHierarchy aggregatedColumn="2"/>
        </ext>
      </extLst>
    </cacheHierarchy>
    <cacheHierarchy uniqueName="[Measures].[Sum of total_confirmed]" caption="Sum of total_confirmed" measure="1" displayFolder="" measureGroup="worldometer_coronavirus_summary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ctive_cases]" caption="Sum of active_cases" measure="1" displayFolder="" measureGroup="worldometer_coronavirus_daily_data"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3.494776851854" backgroundQuery="1" createdVersion="8" refreshedVersion="8" minRefreshableVersion="3" recordCount="0" supportSubquery="1" supportAdvancedDrill="1" xr:uid="{B65E87BD-C500-41B1-9BE1-1D6BAD2AC101}">
  <cacheSource type="external" connectionId="3"/>
  <cacheFields count="5">
    <cacheField name="[worldometer_coronavirus_summary_data].[country].[country]" caption="country" numFmtId="0" hierarchy="10" level="1">
      <sharedItems count="10">
        <s v="Brazil"/>
        <s v="France"/>
        <s v="Germany"/>
        <s v="India"/>
        <s v="Italy"/>
        <s v="Russia"/>
        <s v="Spain"/>
        <s v="Turkey"/>
        <s v="UK"/>
        <s v="USA"/>
      </sharedItems>
    </cacheField>
    <cacheField name="[worldometer_coronavirus_daily_data].[date].[date]" caption="date" numFmtId="0" level="1">
      <sharedItems containsSemiMixedTypes="0" containsNonDate="0" containsDate="1" containsString="0" minDate="2020-01-22T00:00:00" maxDate="2021-03-16T00:00:00" count="419">
        <d v="2020-01-22T00:00:00"/>
        <d v="2020-01-23T00:00:00"/>
        <d v="2020-01-24T00:00:00"/>
        <d v="2020-01-25T00:00:00"/>
        <d v="2020-01-26T00:00:00"/>
        <d v="2020-01-27T00:00:00"/>
        <d v="2020-01-28T00:00:00"/>
        <d v="2020-01-29T00:00:00"/>
        <d v="2020-01-30T00:00:00"/>
        <d v="2020-01-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cacheField>
    <cacheField name="[worldometer_coronavirus_daily_data].[date (Month)].[date (Month)]" caption="date (Month)" numFmtId="0" hierarchy="9" level="1">
      <sharedItems count="12">
        <s v="Jan"/>
        <s v="Feb"/>
        <s v="Mar"/>
        <s v="Apr"/>
        <s v="May"/>
        <s v="Jun"/>
        <s v="Jul"/>
        <s v="Aug"/>
        <s v="Sep"/>
        <s v="Oct"/>
        <s v="Nov"/>
        <s v="Dec"/>
      </sharedItems>
    </cacheField>
    <cacheField name="[Measures].[Sum of daily_new_cases]" caption="Sum of daily_new_cases" numFmtId="0" hierarchy="26" level="32767"/>
    <cacheField name="[worldometer_coronavirus_summary_data].[continent].[continent]" caption="continent" numFmtId="0" hierarchy="11" level="1">
      <sharedItems containsSemiMixedTypes="0" containsNonDate="0" containsString="0"/>
    </cacheField>
  </cacheFields>
  <cacheHierarchies count="32">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2" memberValueDatatype="7" unbalanced="0">
      <fieldsUsage count="2">
        <fieldUsage x="-1"/>
        <fieldUsage x="1"/>
      </fieldsUsage>
    </cacheHierarchy>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20"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2" memberValueDatatype="130" unbalanced="0">
      <fieldsUsage count="2">
        <fieldUsage x="-1"/>
        <fieldUsage x="2"/>
      </fieldsUsage>
    </cacheHierarchy>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4"/>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20"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20"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20"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20"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20"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20"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20"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20"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20"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20"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count="0" oneField="1" hidden="1">
      <fieldsUsage count="1">
        <fieldUsage x="3"/>
      </fieldsUsage>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count="0" hidden="1">
      <extLst>
        <ext xmlns:x15="http://schemas.microsoft.com/office/spreadsheetml/2010/11/main" uri="{B97F6D7D-B522-45F9-BDA1-12C45D357490}">
          <x15:cacheHierarchy aggregatedColumn="6"/>
        </ext>
      </extLst>
    </cacheHierarchy>
    <cacheHierarchy uniqueName="[Measures].[Sum of cumulative_total_cases]" caption="Sum of cumulative_total_cases" measure="1" displayFolder="" measureGroup="worldometer_coronavirus_daily_data" count="0" hidden="1">
      <extLst>
        <ext xmlns:x15="http://schemas.microsoft.com/office/spreadsheetml/2010/11/main" uri="{B97F6D7D-B522-45F9-BDA1-12C45D357490}">
          <x15:cacheHierarchy aggregatedColumn="2"/>
        </ext>
      </extLst>
    </cacheHierarchy>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active_cases]" caption="Sum of active_cases" measure="1" displayFolder="" measureGroup="worldometer_coronavirus_daily_data"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3.494776967593" backgroundQuery="1" createdVersion="8" refreshedVersion="8" minRefreshableVersion="3" recordCount="0" supportSubquery="1" supportAdvancedDrill="1" xr:uid="{255FCC0C-A3F3-4687-88D9-41C3BD0FC1AD}">
  <cacheSource type="external" connectionId="3"/>
  <cacheFields count="3">
    <cacheField name="[worldometer_coronavirus_summary_data].[country].[country]" caption="country" numFmtId="0" hierarchy="10" level="1">
      <sharedItems count="10">
        <s v="Afghanistan"/>
        <s v="Albania"/>
        <s v="Algeria"/>
        <s v="Andorra"/>
        <s v="Angola"/>
        <s v="Anguilla"/>
        <s v="Antigua And Barbuda"/>
        <s v="Argentina"/>
        <s v="Armenia"/>
        <s v="Aruba"/>
      </sharedItems>
    </cacheField>
    <cacheField name="[Measures].[Sum of total_confirmed]" caption="Sum of total_confirmed" numFmtId="0" hierarchy="29" level="32767"/>
    <cacheField name="[worldometer_coronavirus_summary_data].[continent].[continent]" caption="continent" numFmtId="0" hierarchy="11" level="1">
      <sharedItems containsSemiMixedTypes="0" containsNonDate="0" containsString="0"/>
    </cacheField>
  </cacheFields>
  <cacheHierarchies count="32">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20"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20"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20"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20"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20"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20"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20"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20"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20"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20"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20"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count="0" hidden="1">
      <extLst>
        <ext xmlns:x15="http://schemas.microsoft.com/office/spreadsheetml/2010/11/main" uri="{B97F6D7D-B522-45F9-BDA1-12C45D357490}">
          <x15:cacheHierarchy aggregatedColumn="6"/>
        </ext>
      </extLst>
    </cacheHierarchy>
    <cacheHierarchy uniqueName="[Measures].[Sum of cumulative_total_cases]" caption="Sum of cumulative_total_cases" measure="1" displayFolder="" measureGroup="worldometer_coronavirus_daily_data" count="0" hidden="1">
      <extLst>
        <ext xmlns:x15="http://schemas.microsoft.com/office/spreadsheetml/2010/11/main" uri="{B97F6D7D-B522-45F9-BDA1-12C45D357490}">
          <x15:cacheHierarchy aggregatedColumn="2"/>
        </ext>
      </extLst>
    </cacheHierarchy>
    <cacheHierarchy uniqueName="[Measures].[Sum of total_confirmed]" caption="Sum of total_confirmed" measure="1" displayFolder="" measureGroup="worldometer_coronavirus_summary_data"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active_cases]" caption="Sum of active_cases" measure="1" displayFolder="" measureGroup="worldometer_coronavirus_daily_data"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3.494777083331" backgroundQuery="1" createdVersion="8" refreshedVersion="8" minRefreshableVersion="3" recordCount="0" supportSubquery="1" supportAdvancedDrill="1" xr:uid="{40DF3FF4-FDDB-4D99-A749-A598913FD1EF}">
  <cacheSource type="external" connectionId="3"/>
  <cacheFields count="3">
    <cacheField name="[worldometer_coronavirus_summary_data].[country].[country]" caption="country" numFmtId="0" hierarchy="10" level="1">
      <sharedItems count="10">
        <s v="Afghanistan"/>
        <s v="Albania"/>
        <s v="Algeria"/>
        <s v="Andorra"/>
        <s v="Angola"/>
        <s v="Anguilla"/>
        <s v="Antigua And Barbuda"/>
        <s v="Argentina"/>
        <s v="Armenia"/>
        <s v="Aruba"/>
      </sharedItems>
    </cacheField>
    <cacheField name="[Measures].[Sum of total_deaths]" caption="Sum of total_deaths" numFmtId="0" hierarchy="31" level="32767"/>
    <cacheField name="[worldometer_coronavirus_summary_data].[continent].[continent]" caption="continent" numFmtId="0" hierarchy="11" level="1">
      <sharedItems containsSemiMixedTypes="0" containsNonDate="0" containsString="0"/>
    </cacheField>
  </cacheFields>
  <cacheHierarchies count="32">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20"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2"/>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20"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20"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20"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20"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20"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20"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20"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20"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20"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20"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count="0" hidden="1">
      <extLst>
        <ext xmlns:x15="http://schemas.microsoft.com/office/spreadsheetml/2010/11/main" uri="{B97F6D7D-B522-45F9-BDA1-12C45D357490}">
          <x15:cacheHierarchy aggregatedColumn="6"/>
        </ext>
      </extLst>
    </cacheHierarchy>
    <cacheHierarchy uniqueName="[Measures].[Sum of cumulative_total_cases]" caption="Sum of cumulative_total_cases" measure="1" displayFolder="" measureGroup="worldometer_coronavirus_daily_data" count="0" hidden="1">
      <extLst>
        <ext xmlns:x15="http://schemas.microsoft.com/office/spreadsheetml/2010/11/main" uri="{B97F6D7D-B522-45F9-BDA1-12C45D357490}">
          <x15:cacheHierarchy aggregatedColumn="2"/>
        </ext>
      </extLst>
    </cacheHierarchy>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active_cases]" caption="Sum of active_cases" measure="1" displayFolder="" measureGroup="worldometer_coronavirus_daily_data"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_data"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3.494775694446" backgroundQuery="1" createdVersion="8" refreshedVersion="8" minRefreshableVersion="3" recordCount="0" supportSubquery="1" supportAdvancedDrill="1" xr:uid="{7CB7D743-E6C9-44BF-A6B9-348721968108}">
  <cacheSource type="external" connectionId="3"/>
  <cacheFields count="3">
    <cacheField name="[worldometer_coronavirus_summary_data].[country].[country]" caption="country" numFmtId="0" hierarchy="10" level="1">
      <sharedItems count="10">
        <s v="Afghanistan"/>
        <s v="Albania"/>
        <s v="Algeria"/>
        <s v="Andorra"/>
        <s v="Angola"/>
        <s v="Anguilla"/>
        <s v="Antigua And Barbuda"/>
        <s v="Argentina"/>
        <s v="Armenia"/>
        <s v="Aruba"/>
      </sharedItems>
    </cacheField>
    <cacheField name="[worldometer_coronavirus_summary_data].[continent].[continent]" caption="continent" numFmtId="0" hierarchy="11" level="1">
      <sharedItems count="6">
        <s v="Africa"/>
        <s v="Asia"/>
        <s v="Australia/Oceania"/>
        <s v="Europe"/>
        <s v="North America"/>
        <s v="South America"/>
      </sharedItems>
    </cacheField>
    <cacheField name="[Measures].[Sum of active_cases]" caption="Sum of active_cases" numFmtId="0" hierarchy="30" level="32767"/>
  </cacheFields>
  <cacheHierarchies count="32">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20"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fieldsUsage count="2">
        <fieldUsage x="-1"/>
        <fieldUsage x="0"/>
      </fieldsUsage>
    </cacheHierarchy>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fieldsUsage count="2">
        <fieldUsage x="-1"/>
        <fieldUsage x="1"/>
      </fieldsUsage>
    </cacheHierarchy>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20"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20"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20"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20"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20"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20"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20"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20"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20"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20"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count="0" hidden="1">
      <extLst>
        <ext xmlns:x15="http://schemas.microsoft.com/office/spreadsheetml/2010/11/main" uri="{B97F6D7D-B522-45F9-BDA1-12C45D357490}">
          <x15:cacheHierarchy aggregatedColumn="6"/>
        </ext>
      </extLst>
    </cacheHierarchy>
    <cacheHierarchy uniqueName="[Measures].[Sum of cumulative_total_cases]" caption="Sum of cumulative_total_cases" measure="1" displayFolder="" measureGroup="worldometer_coronavirus_daily_data" count="0" hidden="1">
      <extLst>
        <ext xmlns:x15="http://schemas.microsoft.com/office/spreadsheetml/2010/11/main" uri="{B97F6D7D-B522-45F9-BDA1-12C45D357490}">
          <x15:cacheHierarchy aggregatedColumn="2"/>
        </ext>
      </extLst>
    </cacheHierarchy>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active_cases]" caption="Sum of active_cases" measure="1" displayFolder="" measureGroup="worldometer_coronavirus_daily_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worldometer_coronavirus_daily_data" uniqueName="[worldometer_coronavirus_daily_data]" caption="worldometer_coronavirus_daily_data"/>
    <dimension name="worldometer_coronavirus_summary_data" uniqueName="[worldometer_coronavirus_summary_data]" caption="worldometer_coronavirus_summary_data"/>
  </dimensions>
  <measureGroups count="2">
    <measureGroup name="worldometer_coronavirus_daily_data" caption="worldometer_coronavirus_daily_data"/>
    <measureGroup name="worldometer_coronavirus_summary_data" caption="worldometer_coronavirus_summary_data"/>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vika gopakumar" refreshedDate="46213.02650659722" backgroundQuery="1" createdVersion="3" refreshedVersion="8" minRefreshableVersion="3" recordCount="0" supportSubquery="1" supportAdvancedDrill="1" xr:uid="{703DAB8A-1AFA-4002-AC73-48A59A1D6964}">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worldometer_coronavirus_daily_data].[date]" caption="date" attribute="1" time="1" defaultMemberUniqueName="[worldometer_coronavirus_daily_data].[date].[All]" allUniqueName="[worldometer_coronavirus_daily_data].[date].[All]" dimensionUniqueName="[worldometer_coronavirus_daily_data]" displayFolder="" count="0" memberValueDatatype="7" unbalanced="0"/>
    <cacheHierarchy uniqueName="[worldometer_coronavirus_daily_data].[country]" caption="country" attribute="1" defaultMemberUniqueName="[worldometer_coronavirus_daily_data].[country].[All]" allUniqueName="[worldometer_coronavirus_daily_data].[country].[All]" dimensionUniqueName="[worldometer_coronavirus_daily_data]" displayFolder="" count="0" memberValueDatatype="130" unbalanced="0"/>
    <cacheHierarchy uniqueName="[worldometer_coronavirus_daily_data].[cumulative_total_cases]" caption="cumulative_total_cases" attribute="1" defaultMemberUniqueName="[worldometer_coronavirus_daily_data].[cumulative_total_cases].[All]" allUniqueName="[worldometer_coronavirus_daily_data].[cumulative_total_cases].[All]" dimensionUniqueName="[worldometer_coronavirus_daily_data]" displayFolder="" count="0" memberValueDatatype="20" unbalanced="0"/>
    <cacheHierarchy uniqueName="[worldometer_coronavirus_daily_data].[daily_new_cases]" caption="daily_new_cases" attribute="1" defaultMemberUniqueName="[worldometer_coronavirus_daily_data].[daily_new_cases].[All]" allUniqueName="[worldometer_coronavirus_daily_data].[daily_new_cases].[All]" dimensionUniqueName="[worldometer_coronavirus_daily_data]" displayFolder="" count="0" memberValueDatatype="5" unbalanced="0"/>
    <cacheHierarchy uniqueName="[worldometer_coronavirus_daily_data].[active_cases]" caption="active_cases" attribute="1" defaultMemberUniqueName="[worldometer_coronavirus_daily_data].[active_cases].[All]" allUniqueName="[worldometer_coronavirus_daily_data].[active_cases].[All]" dimensionUniqueName="[worldometer_coronavirus_daily_data]" displayFolder="" count="0" memberValueDatatype="20" unbalanced="0"/>
    <cacheHierarchy uniqueName="[worldometer_coronavirus_daily_data].[cumulative_total_deaths]" caption="cumulative_total_deaths" attribute="1" defaultMemberUniqueName="[worldometer_coronavirus_daily_data].[cumulative_total_deaths].[All]" allUniqueName="[worldometer_coronavirus_daily_data].[cumulative_total_deaths].[All]" dimensionUniqueName="[worldometer_coronavirus_daily_data]" displayFolder="" count="0" memberValueDatatype="20" unbalanced="0"/>
    <cacheHierarchy uniqueName="[worldometer_coronavirus_daily_data].[daily_new_deaths]" caption="daily_new_deaths" attribute="1" defaultMemberUniqueName="[worldometer_coronavirus_daily_data].[daily_new_deaths].[All]" allUniqueName="[worldometer_coronavirus_daily_data].[daily_new_deaths].[All]" dimensionUniqueName="[worldometer_coronavirus_daily_data]" displayFolder="" count="0" memberValueDatatype="5" unbalanced="0"/>
    <cacheHierarchy uniqueName="[worldometer_coronavirus_daily_data].[date (Year)]" caption="date (Year)" attribute="1" defaultMemberUniqueName="[worldometer_coronavirus_daily_data].[date (Year)].[All]" allUniqueName="[worldometer_coronavirus_daily_data].[date (Year)].[All]" dimensionUniqueName="[worldometer_coronavirus_daily_data]" displayFolder="" count="0" memberValueDatatype="130" unbalanced="0"/>
    <cacheHierarchy uniqueName="[worldometer_coronavirus_daily_data].[date (Quarter)]" caption="date (Quarter)" attribute="1" defaultMemberUniqueName="[worldometer_coronavirus_daily_data].[date (Quarter)].[All]" allUniqueName="[worldometer_coronavirus_daily_data].[date (Quarter)].[All]" dimensionUniqueName="[worldometer_coronavirus_daily_data]" displayFolder="" count="0" memberValueDatatype="130" unbalanced="0"/>
    <cacheHierarchy uniqueName="[worldometer_coronavirus_daily_data].[date (Month)]" caption="date (Month)" attribute="1" defaultMemberUniqueName="[worldometer_coronavirus_daily_data].[date (Month)].[All]" allUniqueName="[worldometer_coronavirus_daily_data].[date (Month)].[All]" dimensionUniqueName="[worldometer_coronavirus_daily_data]" displayFolder="" count="0" memberValueDatatype="130" unbalanced="0"/>
    <cacheHierarchy uniqueName="[worldometer_coronavirus_summary_data].[country]" caption="country" attribute="1" defaultMemberUniqueName="[worldometer_coronavirus_summary_data].[country].[All]" allUniqueName="[worldometer_coronavirus_summary_data].[country].[All]" dimensionUniqueName="[worldometer_coronavirus_summary_data]" displayFolder="" count="2" memberValueDatatype="130" unbalanced="0"/>
    <cacheHierarchy uniqueName="[worldometer_coronavirus_summary_data].[continent]" caption="continent" attribute="1" defaultMemberUniqueName="[worldometer_coronavirus_summary_data].[continent].[All]" allUniqueName="[worldometer_coronavirus_summary_data].[continent].[All]" dimensionUniqueName="[worldometer_coronavirus_summary_data]" displayFolder="" count="2" memberValueDatatype="130" unbalanced="0"/>
    <cacheHierarchy uniqueName="[worldometer_coronavirus_summary_data].[total_confirmed]" caption="total_confirmed" attribute="1" defaultMemberUniqueName="[worldometer_coronavirus_summary_data].[total_confirmed].[All]" allUniqueName="[worldometer_coronavirus_summary_data].[total_confirmed].[All]" dimensionUniqueName="[worldometer_coronavirus_summary_data]" displayFolder="" count="0" memberValueDatatype="20" unbalanced="0"/>
    <cacheHierarchy uniqueName="[worldometer_coronavirus_summary_data].[total_deaths]" caption="total_deaths" attribute="1" defaultMemberUniqueName="[worldometer_coronavirus_summary_data].[total_deaths].[All]" allUniqueName="[worldometer_coronavirus_summary_data].[total_deaths].[All]" dimensionUniqueName="[worldometer_coronavirus_summary_data]" displayFolder="" count="0" memberValueDatatype="20" unbalanced="0"/>
    <cacheHierarchy uniqueName="[worldometer_coronavirus_summary_data].[total_recovered]" caption="total_recovered" attribute="1" defaultMemberUniqueName="[worldometer_coronavirus_summary_data].[total_recovered].[All]" allUniqueName="[worldometer_coronavirus_summary_data].[total_recovered].[All]" dimensionUniqueName="[worldometer_coronavirus_summary_data]" displayFolder="" count="0" memberValueDatatype="20" unbalanced="0"/>
    <cacheHierarchy uniqueName="[worldometer_coronavirus_summary_data].[active_cases]" caption="active_cases" attribute="1" defaultMemberUniqueName="[worldometer_coronavirus_summary_data].[active_cases].[All]" allUniqueName="[worldometer_coronavirus_summary_data].[active_cases].[All]" dimensionUniqueName="[worldometer_coronavirus_summary_data]" displayFolder="" count="0" memberValueDatatype="20" unbalanced="0"/>
    <cacheHierarchy uniqueName="[worldometer_coronavirus_summary_data].[serious_or_critical]" caption="serious_or_critical" attribute="1" defaultMemberUniqueName="[worldometer_coronavirus_summary_data].[serious_or_critical].[All]" allUniqueName="[worldometer_coronavirus_summary_data].[serious_or_critical].[All]" dimensionUniqueName="[worldometer_coronavirus_summary_data]" displayFolder="" count="0" memberValueDatatype="20" unbalanced="0"/>
    <cacheHierarchy uniqueName="[worldometer_coronavirus_summary_data].[total_cases_per_1m_population]" caption="total_cases_per_1m_population" attribute="1" defaultMemberUniqueName="[worldometer_coronavirus_summary_data].[total_cases_per_1m_population].[All]" allUniqueName="[worldometer_coronavirus_summary_data].[total_cases_per_1m_population].[All]" dimensionUniqueName="[worldometer_coronavirus_summary_data]" displayFolder="" count="0" memberValueDatatype="20" unbalanced="0"/>
    <cacheHierarchy uniqueName="[worldometer_coronavirus_summary_data].[total_deaths_per_1m_population]" caption="total_deaths_per_1m_population" attribute="1" defaultMemberUniqueName="[worldometer_coronavirus_summary_data].[total_deaths_per_1m_population].[All]" allUniqueName="[worldometer_coronavirus_summary_data].[total_deaths_per_1m_population].[All]" dimensionUniqueName="[worldometer_coronavirus_summary_data]" displayFolder="" count="0" memberValueDatatype="20" unbalanced="0"/>
    <cacheHierarchy uniqueName="[worldometer_coronavirus_summary_data].[total_tests]" caption="total_tests" attribute="1" defaultMemberUniqueName="[worldometer_coronavirus_summary_data].[total_tests].[All]" allUniqueName="[worldometer_coronavirus_summary_data].[total_tests].[All]" dimensionUniqueName="[worldometer_coronavirus_summary_data]" displayFolder="" count="0" memberValueDatatype="20" unbalanced="0"/>
    <cacheHierarchy uniqueName="[worldometer_coronavirus_summary_data].[total_tests_per_1m_population]" caption="total_tests_per_1m_population" attribute="1" defaultMemberUniqueName="[worldometer_coronavirus_summary_data].[total_tests_per_1m_population].[All]" allUniqueName="[worldometer_coronavirus_summary_data].[total_tests_per_1m_population].[All]" dimensionUniqueName="[worldometer_coronavirus_summary_data]" displayFolder="" count="0" memberValueDatatype="20" unbalanced="0"/>
    <cacheHierarchy uniqueName="[worldometer_coronavirus_summary_data].[population]" caption="population" attribute="1" defaultMemberUniqueName="[worldometer_coronavirus_summary_data].[population].[All]" allUniqueName="[worldometer_coronavirus_summary_data].[population].[All]" dimensionUniqueName="[worldometer_coronavirus_summary_data]" displayFolder="" count="0" memberValueDatatype="20" unbalanced="0"/>
    <cacheHierarchy uniqueName="[worldometer_coronavirus_daily_data].[date (Month Index)]" caption="date (Month Index)" attribute="1" defaultMemberUniqueName="[worldometer_coronavirus_daily_data].[date (Month Index)].[All]" allUniqueName="[worldometer_coronavirus_daily_data].[date (Month Index)].[All]" dimensionUniqueName="[worldometer_coronavirus_daily_data]" displayFolder="" count="0" memberValueDatatype="20" unbalanced="0" hidden="1"/>
    <cacheHierarchy uniqueName="[Measures].[__XL_Count worldometer_coronavirus_summary_data]" caption="__XL_Count worldometer_coronavirus_summary_data" measure="1" displayFolder="" measureGroup="worldometer_coronavirus_summary_data" count="0" hidden="1"/>
    <cacheHierarchy uniqueName="[Measures].[__XL_Count worldometer_coronavirus_daily_data]" caption="__XL_Count worldometer_coronavirus_daily_data" measure="1" displayFolder="" measureGroup="worldometer_coronavirus_daily_data" count="0" hidden="1"/>
    <cacheHierarchy uniqueName="[Measures].[__No measures defined]" caption="__No measures defined" measure="1" displayFolder="" count="0" hidden="1"/>
    <cacheHierarchy uniqueName="[Measures].[Sum of daily_new_cases]" caption="Sum of daily_new_cases" measure="1" displayFolder="" measureGroup="worldometer_coronavirus_daily_data" count="0" hidden="1">
      <extLst>
        <ext xmlns:x15="http://schemas.microsoft.com/office/spreadsheetml/2010/11/main" uri="{B97F6D7D-B522-45F9-BDA1-12C45D357490}">
          <x15:cacheHierarchy aggregatedColumn="3"/>
        </ext>
      </extLst>
    </cacheHierarchy>
    <cacheHierarchy uniqueName="[Measures].[Sum of daily_new_deaths]" caption="Sum of daily_new_deaths" measure="1" displayFolder="" measureGroup="worldometer_coronavirus_daily_data" count="0" hidden="1">
      <extLst>
        <ext xmlns:x15="http://schemas.microsoft.com/office/spreadsheetml/2010/11/main" uri="{B97F6D7D-B522-45F9-BDA1-12C45D357490}">
          <x15:cacheHierarchy aggregatedColumn="6"/>
        </ext>
      </extLst>
    </cacheHierarchy>
    <cacheHierarchy uniqueName="[Measures].[Sum of cumulative_total_cases]" caption="Sum of cumulative_total_cases" measure="1" displayFolder="" measureGroup="worldometer_coronavirus_daily_data" count="0" hidden="1">
      <extLst>
        <ext xmlns:x15="http://schemas.microsoft.com/office/spreadsheetml/2010/11/main" uri="{B97F6D7D-B522-45F9-BDA1-12C45D357490}">
          <x15:cacheHierarchy aggregatedColumn="2"/>
        </ext>
      </extLst>
    </cacheHierarchy>
    <cacheHierarchy uniqueName="[Measures].[Sum of total_confirmed]" caption="Sum of total_confirmed" measure="1" displayFolder="" measureGroup="worldometer_coronavirus_summary_data" count="0" hidden="1">
      <extLst>
        <ext xmlns:x15="http://schemas.microsoft.com/office/spreadsheetml/2010/11/main" uri="{B97F6D7D-B522-45F9-BDA1-12C45D357490}">
          <x15:cacheHierarchy aggregatedColumn="12"/>
        </ext>
      </extLst>
    </cacheHierarchy>
    <cacheHierarchy uniqueName="[Measures].[Sum of active_cases]" caption="Sum of active_cases" measure="1" displayFolder="" measureGroup="worldometer_coronavirus_daily_data" count="0" hidden="1">
      <extLst>
        <ext xmlns:x15="http://schemas.microsoft.com/office/spreadsheetml/2010/11/main" uri="{B97F6D7D-B522-45F9-BDA1-12C45D357490}">
          <x15:cacheHierarchy aggregatedColumn="4"/>
        </ext>
      </extLst>
    </cacheHierarchy>
    <cacheHierarchy uniqueName="[Measures].[Sum of total_deaths]" caption="Sum of total_deaths" measure="1" displayFolder="" measureGroup="worldometer_coronavirus_summary_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297601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E1D20E-A22C-4651-99F7-197F48F12215}"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38:G45" firstHeaderRow="1" firstDataRow="1" firstDataCol="1"/>
  <pivotFields count="3">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name="Sum of active_cases" fld="2" baseField="0" baseItem="0"/>
  </dataFields>
  <chartFormats count="14">
    <chartFormat chart="5" format="1"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1" count="1" selected="0">
            <x v="0"/>
          </reference>
        </references>
      </pivotArea>
    </chartFormat>
    <chartFormat chart="7" format="11">
      <pivotArea type="data" outline="0" fieldPosition="0">
        <references count="2">
          <reference field="4294967294" count="1" selected="0">
            <x v="0"/>
          </reference>
          <reference field="1" count="1" selected="0">
            <x v="1"/>
          </reference>
        </references>
      </pivotArea>
    </chartFormat>
    <chartFormat chart="7" format="12">
      <pivotArea type="data" outline="0" fieldPosition="0">
        <references count="2">
          <reference field="4294967294" count="1" selected="0">
            <x v="0"/>
          </reference>
          <reference field="1" count="1" selected="0">
            <x v="2"/>
          </reference>
        </references>
      </pivotArea>
    </chartFormat>
    <chartFormat chart="7" format="13">
      <pivotArea type="data" outline="0" fieldPosition="0">
        <references count="2">
          <reference field="4294967294" count="1" selected="0">
            <x v="0"/>
          </reference>
          <reference field="1" count="1" selected="0">
            <x v="3"/>
          </reference>
        </references>
      </pivotArea>
    </chartFormat>
    <chartFormat chart="7" format="14">
      <pivotArea type="data" outline="0" fieldPosition="0">
        <references count="2">
          <reference field="4294967294" count="1" selected="0">
            <x v="0"/>
          </reference>
          <reference field="1" count="1" selected="0">
            <x v="4"/>
          </reference>
        </references>
      </pivotArea>
    </chartFormat>
    <chartFormat chart="7" format="15">
      <pivotArea type="data" outline="0" fieldPosition="0">
        <references count="2">
          <reference field="4294967294" count="1" selected="0">
            <x v="0"/>
          </reference>
          <reference field="1" count="1" selected="0">
            <x v="5"/>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 chart="5" format="7">
      <pivotArea type="data" outline="0" fieldPosition="0">
        <references count="2">
          <reference field="4294967294" count="1" selected="0">
            <x v="0"/>
          </reference>
          <reference field="1" count="1" selected="0">
            <x v="5"/>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A2C07B-C074-4538-8944-29C5A0D95137}"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6:M17" firstHeaderRow="1" firstDataRow="1" firstDataCol="1"/>
  <pivotFields count="3">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cumulative_total_cases"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FAF86F-48FC-40A2-A8C5-39D7D6DF1F65}" name="PivotTable7"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53:S54"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total_deaths" fld="1"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3B43A2-8C7A-4482-B6CB-5E6388DBBE4E}"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S44:S45"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total_confirmed" fld="1"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37595C-8A7D-4150-85C1-533342E288D6}"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12"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7"/>
    </i>
    <i>
      <x v="5"/>
    </i>
    <i>
      <x v="9"/>
    </i>
    <i>
      <x v="1"/>
    </i>
    <i>
      <x v="6"/>
    </i>
    <i>
      <x v="2"/>
    </i>
    <i>
      <x v="8"/>
    </i>
    <i>
      <x v="3"/>
    </i>
    <i>
      <x/>
    </i>
    <i>
      <x v="4"/>
    </i>
    <i t="grand">
      <x/>
    </i>
  </rowItems>
  <colItems count="1">
    <i/>
  </colItems>
  <dataFields count="1">
    <dataField name="Sum of daily_new_cases" fld="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07B564-C2CA-4694-A42D-D91406ADE2A7}"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70:G83"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4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2"/>
    <field x="1"/>
  </rowFields>
  <rowItems count="13">
    <i>
      <x/>
    </i>
    <i>
      <x v="1"/>
    </i>
    <i>
      <x v="2"/>
    </i>
    <i>
      <x v="3"/>
    </i>
    <i>
      <x v="4"/>
    </i>
    <i>
      <x v="5"/>
    </i>
    <i>
      <x v="6"/>
    </i>
    <i>
      <x v="7"/>
    </i>
    <i>
      <x v="8"/>
    </i>
    <i>
      <x v="9"/>
    </i>
    <i>
      <x v="10"/>
    </i>
    <i>
      <x v="11"/>
    </i>
    <i t="grand">
      <x/>
    </i>
  </rowItems>
  <colItems count="1">
    <i/>
  </colItems>
  <dataFields count="1">
    <dataField name="Sum of daily_new_cases" fld="3"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9">
      <autoFilter ref="A1">
        <filterColumn colId="0">
          <top10 val="10" filterVal="10"/>
        </filterColumn>
      </autoFilter>
    </filter>
  </filters>
  <rowHierarchiesUsage count="2">
    <rowHierarchyUsage hierarchyUsage="9"/>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85C0DA-45DE-47F3-865F-41AB1CFE1D00}" name="PivotTable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52:H63"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i>
    <i>
      <x v="3"/>
    </i>
    <i>
      <x v="5"/>
    </i>
    <i>
      <x v="8"/>
    </i>
    <i>
      <x v="1"/>
    </i>
    <i>
      <x v="4"/>
    </i>
    <i>
      <x v="6"/>
    </i>
    <i>
      <x v="7"/>
    </i>
    <i>
      <x v="2"/>
    </i>
    <i t="grand">
      <x/>
    </i>
  </rowItems>
  <colItems count="1">
    <i/>
  </colItems>
  <dataFields count="1">
    <dataField name="Sum of total_confirmed" fld="1" baseField="0" baseItem="0"/>
  </dataFields>
  <chartFormats count="3">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9">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rldometer_coronavirus_summary_data]"/>
        <x15:activeTabTopLevelEntity name="[worldometer_coronavirus_daily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82E94DC8-876E-4BA6-AB77-A52AFC1CAC57}" sourceName="[worldometer_coronavirus_summary_data].[continent]">
  <pivotTables>
    <pivotTable tabId="2" name="PivotTable1"/>
    <pivotTable tabId="2" name="PivotTable2"/>
    <pivotTable tabId="2" name="PivotTable3"/>
    <pivotTable tabId="2" name="PivotTable4"/>
    <pivotTable tabId="2" name="PivotTable5"/>
    <pivotTable tabId="2" name="PivotTable6"/>
    <pivotTable tabId="2" name="PivotTable7"/>
  </pivotTables>
  <data>
    <olap pivotCacheId="329760176">
      <levels count="2">
        <level uniqueName="[worldometer_coronavirus_summary_data].[continent].[(All)]" sourceCaption="(All)" count="0"/>
        <level uniqueName="[worldometer_coronavirus_summary_data].[continent].[continent]" sourceCaption="continent" count="6">
          <ranges>
            <range startItem="0">
              <i n="[worldometer_coronavirus_summary_data].[continent].&amp;[Africa]" c="Africa"/>
              <i n="[worldometer_coronavirus_summary_data].[continent].&amp;[Asia]" c="Asia"/>
              <i n="[worldometer_coronavirus_summary_data].[continent].&amp;[Australia/Oceania]" c="Australia/Oceania"/>
              <i n="[worldometer_coronavirus_summary_data].[continent].&amp;[Europe]" c="Europe"/>
              <i n="[worldometer_coronavirus_summary_data].[continent].&amp;[North America]" c="North America"/>
              <i n="[worldometer_coronavirus_summary_data].[continent].&amp;[South America]" c="South America"/>
            </range>
          </ranges>
        </level>
      </levels>
      <selections count="1">
        <selection n="[worldometer_coronavirus_summary_data].[contin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B12AA16-D524-45F8-A343-98DF9C284E1B}" sourceName="[worldometer_coronavirus_summary_data].[country]">
  <pivotTables>
    <pivotTable tabId="2" name="PivotTable1"/>
  </pivotTables>
  <data>
    <olap pivotCacheId="329760176">
      <levels count="2">
        <level uniqueName="[worldometer_coronavirus_summary_data].[country].[(All)]" sourceCaption="(All)" count="0"/>
        <level uniqueName="[worldometer_coronavirus_summary_data].[country].[country]" sourceCaption="country" count="219">
          <ranges>
            <range startItem="0">
              <i n="[worldometer_coronavirus_summary_data].[country].&amp;[Afghanistan]" c="Afghanistan"/>
              <i n="[worldometer_coronavirus_summary_data].[country].&amp;[Albania]" c="Albania"/>
              <i n="[worldometer_coronavirus_summary_data].[country].&amp;[Algeria]" c="Algeria"/>
              <i n="[worldometer_coronavirus_summary_data].[country].&amp;[Andorra]" c="Andorra"/>
              <i n="[worldometer_coronavirus_summary_data].[country].&amp;[Angola]" c="Angola"/>
              <i n="[worldometer_coronavirus_summary_data].[country].&amp;[Anguilla]" c="Anguilla"/>
              <i n="[worldometer_coronavirus_summary_data].[country].&amp;[Antigua And Barbuda]" c="Antigua And Barbuda"/>
              <i n="[worldometer_coronavirus_summary_data].[country].&amp;[Argentina]" c="Argentina"/>
              <i n="[worldometer_coronavirus_summary_data].[country].&amp;[Armenia]" c="Armenia"/>
              <i n="[worldometer_coronavirus_summary_data].[country].&amp;[Aruba]" c="Aruba"/>
              <i n="[worldometer_coronavirus_summary_data].[country].&amp;[Australia]" c="Australia"/>
              <i n="[worldometer_coronavirus_summary_data].[country].&amp;[Austria]" c="Austria"/>
              <i n="[worldometer_coronavirus_summary_data].[country].&amp;[Azerbaijan]" c="Azerbaijan"/>
              <i n="[worldometer_coronavirus_summary_data].[country].&amp;[Bahamas]" c="Bahamas"/>
              <i n="[worldometer_coronavirus_summary_data].[country].&amp;[Bahrain]" c="Bahrain"/>
              <i n="[worldometer_coronavirus_summary_data].[country].&amp;[Bangladesh]" c="Bangladesh"/>
              <i n="[worldometer_coronavirus_summary_data].[country].&amp;[Barbados]" c="Barbados"/>
              <i n="[worldometer_coronavirus_summary_data].[country].&amp;[Belarus]" c="Belarus"/>
              <i n="[worldometer_coronavirus_summary_data].[country].&amp;[Belgium]" c="Belgium"/>
              <i n="[worldometer_coronavirus_summary_data].[country].&amp;[Belize]" c="Belize"/>
              <i n="[worldometer_coronavirus_summary_data].[country].&amp;[Benin]" c="Benin"/>
              <i n="[worldometer_coronavirus_summary_data].[country].&amp;[Bermuda]" c="Bermuda"/>
              <i n="[worldometer_coronavirus_summary_data].[country].&amp;[Bhutan]" c="Bhutan"/>
              <i n="[worldometer_coronavirus_summary_data].[country].&amp;[Bolivia]" c="Bolivia"/>
              <i n="[worldometer_coronavirus_summary_data].[country].&amp;[Bosnia And Herzegovina]" c="Bosnia And Herzegovina"/>
              <i n="[worldometer_coronavirus_summary_data].[country].&amp;[Botswana]" c="Botswana"/>
              <i n="[worldometer_coronavirus_summary_data].[country].&amp;[Brazil]" c="Brazil"/>
              <i n="[worldometer_coronavirus_summary_data].[country].&amp;[British Virgin Islands]" c="British Virgin Islands"/>
              <i n="[worldometer_coronavirus_summary_data].[country].&amp;[Brunei Darussalam]" c="Brunei Darussalam"/>
              <i n="[worldometer_coronavirus_summary_data].[country].&amp;[Bulgaria]" c="Bulgaria"/>
              <i n="[worldometer_coronavirus_summary_data].[country].&amp;[Burkina Faso]" c="Burkina Faso"/>
              <i n="[worldometer_coronavirus_summary_data].[country].&amp;[Burundi]" c="Burundi"/>
              <i n="[worldometer_coronavirus_summary_data].[country].&amp;[Cabo Verde]" c="Cabo Verde"/>
              <i n="[worldometer_coronavirus_summary_data].[country].&amp;[Cambodia]" c="Cambodia"/>
              <i n="[worldometer_coronavirus_summary_data].[country].&amp;[Cameroon]" c="Cameroon"/>
              <i n="[worldometer_coronavirus_summary_data].[country].&amp;[Canada]" c="Canada"/>
              <i n="[worldometer_coronavirus_summary_data].[country].&amp;[Caribbean Netherlands]" c="Caribbean Netherlands"/>
              <i n="[worldometer_coronavirus_summary_data].[country].&amp;[Cayman Islands]" c="Cayman Islands"/>
              <i n="[worldometer_coronavirus_summary_data].[country].&amp;[Central African Republic]" c="Central African Republic"/>
              <i n="[worldometer_coronavirus_summary_data].[country].&amp;[Chad]" c="Chad"/>
              <i n="[worldometer_coronavirus_summary_data].[country].&amp;[Channel Islands]" c="Channel Islands"/>
              <i n="[worldometer_coronavirus_summary_data].[country].&amp;[Chile]" c="Chile"/>
              <i n="[worldometer_coronavirus_summary_data].[country].&amp;[China]" c="China"/>
              <i n="[worldometer_coronavirus_summary_data].[country].&amp;[China Hong Kong Sar]" c="China Hong Kong Sar"/>
              <i n="[worldometer_coronavirus_summary_data].[country].&amp;[China Macao Sar]" c="China Macao Sar"/>
              <i n="[worldometer_coronavirus_summary_data].[country].&amp;[Colombia]" c="Colombia"/>
              <i n="[worldometer_coronavirus_summary_data].[country].&amp;[Comoros]" c="Comoros"/>
              <i n="[worldometer_coronavirus_summary_data].[country].&amp;[Congo]" c="Congo"/>
              <i n="[worldometer_coronavirus_summary_data].[country].&amp;[Costa Rica]" c="Costa Rica"/>
              <i n="[worldometer_coronavirus_summary_data].[country].&amp;[Cote D Ivoire]" c="Cote D Ivoire"/>
              <i n="[worldometer_coronavirus_summary_data].[country].&amp;[Croatia]" c="Croatia"/>
              <i n="[worldometer_coronavirus_summary_data].[country].&amp;[Cuba]" c="Cuba"/>
              <i n="[worldometer_coronavirus_summary_data].[country].&amp;[Curacao]" c="Curacao"/>
              <i n="[worldometer_coronavirus_summary_data].[country].&amp;[Cyprus]" c="Cyprus"/>
              <i n="[worldometer_coronavirus_summary_data].[country].&amp;[Czech Republic]" c="Czech Republic"/>
              <i n="[worldometer_coronavirus_summary_data].[country].&amp;[Democratic Republic Of The Congo]" c="Democratic Republic Of The Congo"/>
              <i n="[worldometer_coronavirus_summary_data].[country].&amp;[Denmark]" c="Denmark"/>
              <i n="[worldometer_coronavirus_summary_data].[country].&amp;[Djibouti]" c="Djibouti"/>
              <i n="[worldometer_coronavirus_summary_data].[country].&amp;[Dominica]" c="Dominica"/>
              <i n="[worldometer_coronavirus_summary_data].[country].&amp;[Dominican Republic]" c="Dominican Republic"/>
              <i n="[worldometer_coronavirus_summary_data].[country].&amp;[Ecuador]" c="Ecuador"/>
              <i n="[worldometer_coronavirus_summary_data].[country].&amp;[Egypt]" c="Egypt"/>
              <i n="[worldometer_coronavirus_summary_data].[country].&amp;[El Salvador]" c="El Salvador"/>
              <i n="[worldometer_coronavirus_summary_data].[country].&amp;[Equatorial Guinea]" c="Equatorial Guinea"/>
              <i n="[worldometer_coronavirus_summary_data].[country].&amp;[Eritrea]" c="Eritrea"/>
              <i n="[worldometer_coronavirus_summary_data].[country].&amp;[Estonia]" c="Estonia"/>
              <i n="[worldometer_coronavirus_summary_data].[country].&amp;[Ethiopia]" c="Ethiopia"/>
              <i n="[worldometer_coronavirus_summary_data].[country].&amp;[Faeroe Islands]" c="Faeroe Islands"/>
              <i n="[worldometer_coronavirus_summary_data].[country].&amp;[Falkland Islands Malvinas]" c="Falkland Islands Malvinas"/>
              <i n="[worldometer_coronavirus_summary_data].[country].&amp;[Fiji]" c="Fiji"/>
              <i n="[worldometer_coronavirus_summary_data].[country].&amp;[Finland]" c="Finland"/>
              <i n="[worldometer_coronavirus_summary_data].[country].&amp;[France]" c="France"/>
              <i n="[worldometer_coronavirus_summary_data].[country].&amp;[French Guiana]" c="French Guiana"/>
              <i n="[worldometer_coronavirus_summary_data].[country].&amp;[French Polynesia]" c="French Polynesia"/>
              <i n="[worldometer_coronavirus_summary_data].[country].&amp;[Gabon]" c="Gabon"/>
              <i n="[worldometer_coronavirus_summary_data].[country].&amp;[Gambia]" c="Gambia"/>
              <i n="[worldometer_coronavirus_summary_data].[country].&amp;[Georgia]" c="Georgia"/>
              <i n="[worldometer_coronavirus_summary_data].[country].&amp;[Germany]" c="Germany"/>
              <i n="[worldometer_coronavirus_summary_data].[country].&amp;[Ghana]" c="Ghana"/>
              <i n="[worldometer_coronavirus_summary_data].[country].&amp;[Gibraltar]" c="Gibraltar"/>
              <i n="[worldometer_coronavirus_summary_data].[country].&amp;[Greece]" c="Greece"/>
              <i n="[worldometer_coronavirus_summary_data].[country].&amp;[Greenland]" c="Greenland"/>
              <i n="[worldometer_coronavirus_summary_data].[country].&amp;[Grenada]" c="Grenada"/>
              <i n="[worldometer_coronavirus_summary_data].[country].&amp;[Guadeloupe]" c="Guadeloupe"/>
              <i n="[worldometer_coronavirus_summary_data].[country].&amp;[Guatemala]" c="Guatemala"/>
              <i n="[worldometer_coronavirus_summary_data].[country].&amp;[Guinea]" c="Guinea"/>
              <i n="[worldometer_coronavirus_summary_data].[country].&amp;[Guinea Bissau]" c="Guinea Bissau"/>
              <i n="[worldometer_coronavirus_summary_data].[country].&amp;[Guyana]" c="Guyana"/>
              <i n="[worldometer_coronavirus_summary_data].[country].&amp;[Haiti]" c="Haiti"/>
              <i n="[worldometer_coronavirus_summary_data].[country].&amp;[Holy See]" c="Holy See"/>
              <i n="[worldometer_coronavirus_summary_data].[country].&amp;[Honduras]" c="Honduras"/>
              <i n="[worldometer_coronavirus_summary_data].[country].&amp;[Hungary]" c="Hungary"/>
              <i n="[worldometer_coronavirus_summary_data].[country].&amp;[Iceland]" c="Iceland"/>
              <i n="[worldometer_coronavirus_summary_data].[country].&amp;[India]" c="India"/>
              <i n="[worldometer_coronavirus_summary_data].[country].&amp;[Indonesia]" c="Indonesia"/>
              <i n="[worldometer_coronavirus_summary_data].[country].&amp;[Iran]" c="Iran"/>
              <i n="[worldometer_coronavirus_summary_data].[country].&amp;[Iraq]" c="Iraq"/>
              <i n="[worldometer_coronavirus_summary_data].[country].&amp;[Ireland]" c="Ireland"/>
              <i n="[worldometer_coronavirus_summary_data].[country].&amp;[Isle Of Man]" c="Isle Of Man"/>
              <i n="[worldometer_coronavirus_summary_data].[country].&amp;[Israel]" c="Israel"/>
              <i n="[worldometer_coronavirus_summary_data].[country].&amp;[Italy]" c="Italy"/>
              <i n="[worldometer_coronavirus_summary_data].[country].&amp;[Jamaica]" c="Jamaica"/>
              <i n="[worldometer_coronavirus_summary_data].[country].&amp;[Japan]" c="Japan"/>
              <i n="[worldometer_coronavirus_summary_data].[country].&amp;[Jordan]" c="Jordan"/>
              <i n="[worldometer_coronavirus_summary_data].[country].&amp;[Kazakhstan]" c="Kazakhstan"/>
              <i n="[worldometer_coronavirus_summary_data].[country].&amp;[Kenya]" c="Kenya"/>
              <i n="[worldometer_coronavirus_summary_data].[country].&amp;[Kuwait]" c="Kuwait"/>
              <i n="[worldometer_coronavirus_summary_data].[country].&amp;[Kyrgyzstan]" c="Kyrgyzstan"/>
              <i n="[worldometer_coronavirus_summary_data].[country].&amp;[Laos]" c="Laos"/>
              <i n="[worldometer_coronavirus_summary_data].[country].&amp;[Latvia]" c="Latvia"/>
              <i n="[worldometer_coronavirus_summary_data].[country].&amp;[Lebanon]" c="Lebanon"/>
              <i n="[worldometer_coronavirus_summary_data].[country].&amp;[Lesotho]" c="Lesotho"/>
              <i n="[worldometer_coronavirus_summary_data].[country].&amp;[Liberia]" c="Liberia"/>
              <i n="[worldometer_coronavirus_summary_data].[country].&amp;[Libya]" c="Libya"/>
              <i n="[worldometer_coronavirus_summary_data].[country].&amp;[Liechtenstein]" c="Liechtenstein"/>
              <i n="[worldometer_coronavirus_summary_data].[country].&amp;[Lithuania]" c="Lithuania"/>
              <i n="[worldometer_coronavirus_summary_data].[country].&amp;[Luxembourg]" c="Luxembourg"/>
              <i n="[worldometer_coronavirus_summary_data].[country].&amp;[Macedonia]" c="Macedonia"/>
              <i n="[worldometer_coronavirus_summary_data].[country].&amp;[Madagascar]" c="Madagascar"/>
              <i n="[worldometer_coronavirus_summary_data].[country].&amp;[Malawi]" c="Malawi"/>
              <i n="[worldometer_coronavirus_summary_data].[country].&amp;[Malaysia]" c="Malaysia"/>
              <i n="[worldometer_coronavirus_summary_data].[country].&amp;[Maldives]" c="Maldives"/>
              <i n="[worldometer_coronavirus_summary_data].[country].&amp;[Mali]" c="Mali"/>
              <i n="[worldometer_coronavirus_summary_data].[country].&amp;[Malta]" c="Malta"/>
              <i n="[worldometer_coronavirus_summary_data].[country].&amp;[Marshall Islands]" c="Marshall Islands"/>
              <i n="[worldometer_coronavirus_summary_data].[country].&amp;[Martinique]" c="Martinique"/>
              <i n="[worldometer_coronavirus_summary_data].[country].&amp;[Mauritania]" c="Mauritania"/>
              <i n="[worldometer_coronavirus_summary_data].[country].&amp;[Mauritius]" c="Mauritius"/>
              <i n="[worldometer_coronavirus_summary_data].[country].&amp;[Mayotte]" c="Mayotte"/>
              <i n="[worldometer_coronavirus_summary_data].[country].&amp;[Mexico]" c="Mexico"/>
              <i n="[worldometer_coronavirus_summary_data].[country].&amp;[Micronesia]" c="Micronesia"/>
              <i n="[worldometer_coronavirus_summary_data].[country].&amp;[Moldova]" c="Moldova"/>
              <i n="[worldometer_coronavirus_summary_data].[country].&amp;[Monaco]" c="Monaco"/>
              <i n="[worldometer_coronavirus_summary_data].[country].&amp;[Mongolia]" c="Mongolia"/>
              <i n="[worldometer_coronavirus_summary_data].[country].&amp;[Montenegro]" c="Montenegro"/>
              <i n="[worldometer_coronavirus_summary_data].[country].&amp;[Montserrat]" c="Montserrat"/>
              <i n="[worldometer_coronavirus_summary_data].[country].&amp;[Morocco]" c="Morocco"/>
              <i n="[worldometer_coronavirus_summary_data].[country].&amp;[Mozambique]" c="Mozambique"/>
              <i n="[worldometer_coronavirus_summary_data].[country].&amp;[Myanmar]" c="Myanmar"/>
              <i n="[worldometer_coronavirus_summary_data].[country].&amp;[Namibia]" c="Namibia"/>
              <i n="[worldometer_coronavirus_summary_data].[country].&amp;[Nepal]" c="Nepal"/>
              <i n="[worldometer_coronavirus_summary_data].[country].&amp;[Netherlands]" c="Netherlands"/>
              <i n="[worldometer_coronavirus_summary_data].[country].&amp;[New Caledonia]" c="New Caledonia"/>
              <i n="[worldometer_coronavirus_summary_data].[country].&amp;[New Zealand]" c="New Zealand"/>
              <i n="[worldometer_coronavirus_summary_data].[country].&amp;[Nicaragua]" c="Nicaragua"/>
              <i n="[worldometer_coronavirus_summary_data].[country].&amp;[Niger]" c="Niger"/>
              <i n="[worldometer_coronavirus_summary_data].[country].&amp;[Nigeria]" c="Nigeria"/>
              <i n="[worldometer_coronavirus_summary_data].[country].&amp;[Norway]" c="Norway"/>
              <i n="[worldometer_coronavirus_summary_data].[country].&amp;[Oman]" c="Oman"/>
              <i n="[worldometer_coronavirus_summary_data].[country].&amp;[Pakistan]" c="Pakistan"/>
              <i n="[worldometer_coronavirus_summary_data].[country].&amp;[Panama]" c="Panama"/>
              <i n="[worldometer_coronavirus_summary_data].[country].&amp;[Papua New Guinea]" c="Papua New Guinea"/>
              <i n="[worldometer_coronavirus_summary_data].[country].&amp;[Paraguay]" c="Paraguay"/>
              <i n="[worldometer_coronavirus_summary_data].[country].&amp;[Peru]" c="Peru"/>
              <i n="[worldometer_coronavirus_summary_data].[country].&amp;[Philippines]" c="Philippines"/>
              <i n="[worldometer_coronavirus_summary_data].[country].&amp;[Poland]" c="Poland"/>
              <i n="[worldometer_coronavirus_summary_data].[country].&amp;[Portugal]" c="Portugal"/>
              <i n="[worldometer_coronavirus_summary_data].[country].&amp;[Qatar]" c="Qatar"/>
              <i n="[worldometer_coronavirus_summary_data].[country].&amp;[Reunion]" c="Reunion"/>
              <i n="[worldometer_coronavirus_summary_data].[country].&amp;[Romania]" c="Romania"/>
              <i n="[worldometer_coronavirus_summary_data].[country].&amp;[Russia]" c="Russia"/>
              <i n="[worldometer_coronavirus_summary_data].[country].&amp;[Rwanda]" c="Rwanda"/>
              <i n="[worldometer_coronavirus_summary_data].[country].&amp;[Saint Barthelemy]" c="Saint Barthelemy"/>
              <i n="[worldometer_coronavirus_summary_data].[country].&amp;[Saint Kitts And Nevis]" c="Saint Kitts And Nevis"/>
              <i n="[worldometer_coronavirus_summary_data].[country].&amp;[Saint Lucia]" c="Saint Lucia"/>
              <i n="[worldometer_coronavirus_summary_data].[country].&amp;[Saint Martin]" c="Saint Martin"/>
              <i n="[worldometer_coronavirus_summary_data].[country].&amp;[Saint Pierre And Miquelon]" c="Saint Pierre And Miquelon"/>
              <i n="[worldometer_coronavirus_summary_data].[country].&amp;[Saint Vincent And The Grenadines]" c="Saint Vincent And The Grenadines"/>
              <i n="[worldometer_coronavirus_summary_data].[country].&amp;[Samoa]" c="Samoa"/>
              <i n="[worldometer_coronavirus_summary_data].[country].&amp;[San Marino]" c="San Marino"/>
              <i n="[worldometer_coronavirus_summary_data].[country].&amp;[Sao Tome And Principe]" c="Sao Tome And Principe"/>
              <i n="[worldometer_coronavirus_summary_data].[country].&amp;[Saudi Arabia]" c="Saudi Arabia"/>
              <i n="[worldometer_coronavirus_summary_data].[country].&amp;[Senegal]" c="Senegal"/>
              <i n="[worldometer_coronavirus_summary_data].[country].&amp;[Serbia]" c="Serbia"/>
              <i n="[worldometer_coronavirus_summary_data].[country].&amp;[Seychelles]" c="Seychelles"/>
              <i n="[worldometer_coronavirus_summary_data].[country].&amp;[Sierra Leone]" c="Sierra Leone"/>
              <i n="[worldometer_coronavirus_summary_data].[country].&amp;[Singapore]" c="Singapore"/>
              <i n="[worldometer_coronavirus_summary_data].[country].&amp;[Sint Maarten]" c="Sint Maarten"/>
              <i n="[worldometer_coronavirus_summary_data].[country].&amp;[Slovakia]" c="Slovakia"/>
              <i n="[worldometer_coronavirus_summary_data].[country].&amp;[Slovenia]" c="Slovenia"/>
              <i n="[worldometer_coronavirus_summary_data].[country].&amp;[Solomon Islands]" c="Solomon Islands"/>
              <i n="[worldometer_coronavirus_summary_data].[country].&amp;[Somalia]" c="Somalia"/>
              <i n="[worldometer_coronavirus_summary_data].[country].&amp;[South Africa]" c="South Africa"/>
              <i n="[worldometer_coronavirus_summary_data].[country].&amp;[South Korea]" c="South Korea"/>
              <i n="[worldometer_coronavirus_summary_data].[country].&amp;[South Sudan]" c="South Sudan"/>
              <i n="[worldometer_coronavirus_summary_data].[country].&amp;[Spain]" c="Spain"/>
              <i n="[worldometer_coronavirus_summary_data].[country].&amp;[Sri Lanka]" c="Sri Lanka"/>
              <i n="[worldometer_coronavirus_summary_data].[country].&amp;[State Of Palestine]" c="State Of Palestine"/>
              <i n="[worldometer_coronavirus_summary_data].[country].&amp;[Sudan]" c="Sudan"/>
              <i n="[worldometer_coronavirus_summary_data].[country].&amp;[Suriname]" c="Suriname"/>
              <i n="[worldometer_coronavirus_summary_data].[country].&amp;[Swaziland]" c="Swaziland"/>
              <i n="[worldometer_coronavirus_summary_data].[country].&amp;[Sweden]" c="Sweden"/>
              <i n="[worldometer_coronavirus_summary_data].[country].&amp;[Switzerland]" c="Switzerland"/>
              <i n="[worldometer_coronavirus_summary_data].[country].&amp;[Syria]" c="Syria"/>
              <i n="[worldometer_coronavirus_summary_data].[country].&amp;[Taiwan]" c="Taiwan"/>
              <i n="[worldometer_coronavirus_summary_data].[country].&amp;[Tajikistan]" c="Tajikistan"/>
              <i n="[worldometer_coronavirus_summary_data].[country].&amp;[Tanzania]" c="Tanzania"/>
              <i n="[worldometer_coronavirus_summary_data].[country].&amp;[Thailand]" c="Thailand"/>
              <i n="[worldometer_coronavirus_summary_data].[country].&amp;[Timor Leste]" c="Timor Leste"/>
              <i n="[worldometer_coronavirus_summary_data].[country].&amp;[Togo]" c="Togo"/>
              <i n="[worldometer_coronavirus_summary_data].[country].&amp;[Trinidad And Tobago]" c="Trinidad And Tobago"/>
              <i n="[worldometer_coronavirus_summary_data].[country].&amp;[Tunisia]" c="Tunisia"/>
              <i n="[worldometer_coronavirus_summary_data].[country].&amp;[Turkey]" c="Turkey"/>
              <i n="[worldometer_coronavirus_summary_data].[country].&amp;[Turks And Caicos Islands]" c="Turks And Caicos Islands"/>
              <i n="[worldometer_coronavirus_summary_data].[country].&amp;[Uganda]" c="Uganda"/>
              <i n="[worldometer_coronavirus_summary_data].[country].&amp;[UK]" c="UK"/>
              <i n="[worldometer_coronavirus_summary_data].[country].&amp;[Ukraine]" c="Ukraine"/>
              <i n="[worldometer_coronavirus_summary_data].[country].&amp;[United Arab Emirates]" c="United Arab Emirates"/>
              <i n="[worldometer_coronavirus_summary_data].[country].&amp;[Uruguay]" c="Uruguay"/>
              <i n="[worldometer_coronavirus_summary_data].[country].&amp;[USA]" c="USA"/>
              <i n="[worldometer_coronavirus_summary_data].[country].&amp;[Uzbekistan]" c="Uzbekistan"/>
              <i n="[worldometer_coronavirus_summary_data].[country].&amp;[Vanuatu]" c="Vanuatu"/>
              <i n="[worldometer_coronavirus_summary_data].[country].&amp;[Venezuela]" c="Venezuela"/>
              <i n="[worldometer_coronavirus_summary_data].[country].&amp;[Viet Nam]" c="Viet Nam"/>
              <i n="[worldometer_coronavirus_summary_data].[country].&amp;[Wallis And Futuna Islands]" c="Wallis And Futuna Islands"/>
              <i n="[worldometer_coronavirus_summary_data].[country].&amp;[Western Sahara]" c="Western Sahara"/>
              <i n="[worldometer_coronavirus_summary_data].[country].&amp;[Yemen]" c="Yemen"/>
              <i n="[worldometer_coronavirus_summary_data].[country].&amp;[Zambia]" c="Zambia"/>
              <i n="[worldometer_coronavirus_summary_data].[country].&amp;[Zimbabwe]" c="Zimbabwe"/>
            </range>
          </ranges>
        </level>
      </levels>
      <selections count="1">
        <selection n="[worldometer_coronavirus_summary_data].[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64953E55-0D7A-4BA3-BFDC-C5A9D311B83A}" cache="Slicer_continent" caption="continent" level="1" style="SlicerStyleOther1" rowHeight="247650"/>
  <slicer name="country" xr10:uid="{BA1C65C7-E498-4457-B045-493211FD19C2}" cache="Slicer_country" caption="country" level="1" style="SlicerStyleOther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7C91D-B152-47AA-8EA6-A3B085E8D07D}">
  <dimension ref="D4:AA62"/>
  <sheetViews>
    <sheetView tabSelected="1" topLeftCell="A5" zoomScale="50" zoomScaleNormal="50" workbookViewId="0">
      <selection activeCell="AE25" sqref="AE25"/>
    </sheetView>
  </sheetViews>
  <sheetFormatPr defaultRowHeight="14.4" x14ac:dyDescent="0.3"/>
  <sheetData>
    <row r="4" spans="4:27" x14ac:dyDescent="0.3">
      <c r="K4" s="6" t="s">
        <v>47</v>
      </c>
      <c r="L4" s="6"/>
      <c r="M4" s="6"/>
      <c r="N4" s="6"/>
      <c r="O4" s="6"/>
      <c r="P4" s="6"/>
      <c r="Q4" s="6"/>
      <c r="R4" s="6"/>
      <c r="S4" s="6"/>
      <c r="T4" s="6"/>
      <c r="U4" s="6"/>
      <c r="V4" s="6"/>
    </row>
    <row r="5" spans="4:27" x14ac:dyDescent="0.3">
      <c r="K5" s="6"/>
      <c r="L5" s="6"/>
      <c r="M5" s="6"/>
      <c r="N5" s="6"/>
      <c r="O5" s="6"/>
      <c r="P5" s="6"/>
      <c r="Q5" s="6"/>
      <c r="R5" s="6"/>
      <c r="S5" s="6"/>
      <c r="T5" s="6"/>
      <c r="U5" s="6"/>
      <c r="V5" s="6"/>
    </row>
    <row r="6" spans="4:27" x14ac:dyDescent="0.3">
      <c r="K6" s="6"/>
      <c r="L6" s="6"/>
      <c r="M6" s="6"/>
      <c r="N6" s="6"/>
      <c r="O6" s="6"/>
      <c r="P6" s="6"/>
      <c r="Q6" s="6"/>
      <c r="R6" s="6"/>
      <c r="S6" s="6"/>
      <c r="T6" s="6"/>
      <c r="U6" s="6"/>
      <c r="V6" s="6"/>
    </row>
    <row r="7" spans="4:27" x14ac:dyDescent="0.3">
      <c r="K7" s="6"/>
      <c r="L7" s="6"/>
      <c r="M7" s="6"/>
      <c r="N7" s="6"/>
      <c r="O7" s="6"/>
      <c r="P7" s="6"/>
      <c r="Q7" s="6"/>
      <c r="R7" s="6"/>
      <c r="S7" s="6"/>
      <c r="T7" s="6"/>
      <c r="U7" s="6"/>
      <c r="V7" s="6"/>
    </row>
    <row r="10" spans="4:27" x14ac:dyDescent="0.3">
      <c r="D10" s="7"/>
      <c r="E10" s="7"/>
      <c r="F10" s="6" t="s">
        <v>45</v>
      </c>
      <c r="G10" s="6"/>
      <c r="H10" s="6"/>
      <c r="I10" s="6"/>
      <c r="J10" s="6"/>
      <c r="K10" s="6"/>
      <c r="L10" s="6"/>
      <c r="M10" s="6"/>
      <c r="N10" s="6" t="s">
        <v>46</v>
      </c>
      <c r="O10" s="6"/>
      <c r="P10" s="6"/>
      <c r="Q10" s="6"/>
      <c r="R10" s="6"/>
      <c r="S10" s="6"/>
      <c r="T10" s="6"/>
      <c r="U10" s="6"/>
      <c r="V10" s="6"/>
      <c r="W10" s="6"/>
      <c r="X10" s="6"/>
      <c r="Y10" s="6"/>
      <c r="Z10" s="7"/>
      <c r="AA10" s="7"/>
    </row>
    <row r="11" spans="4:27" x14ac:dyDescent="0.3">
      <c r="D11" s="7"/>
      <c r="E11" s="7"/>
      <c r="F11" s="6"/>
      <c r="G11" s="6"/>
      <c r="H11" s="6"/>
      <c r="I11" s="6"/>
      <c r="J11" s="6"/>
      <c r="K11" s="6"/>
      <c r="L11" s="6"/>
      <c r="M11" s="6"/>
      <c r="N11" s="6"/>
      <c r="O11" s="6"/>
      <c r="P11" s="6"/>
      <c r="Q11" s="6"/>
      <c r="R11" s="6"/>
      <c r="S11" s="6"/>
      <c r="T11" s="6"/>
      <c r="U11" s="6"/>
      <c r="V11" s="6"/>
      <c r="W11" s="6"/>
      <c r="X11" s="6"/>
      <c r="Y11" s="6"/>
      <c r="Z11" s="7"/>
      <c r="AA11" s="7"/>
    </row>
    <row r="12" spans="4:27" x14ac:dyDescent="0.3">
      <c r="D12" s="7"/>
      <c r="E12" s="7"/>
      <c r="F12" s="4">
        <f>GETPIVOTDATA("[Measures].[Sum of total_confirmed]",worldometer_coronavirus_summary!$S$44)</f>
        <v>120814850</v>
      </c>
      <c r="G12" s="4"/>
      <c r="H12" s="4"/>
      <c r="I12" s="4"/>
      <c r="J12" s="4"/>
      <c r="K12" s="4"/>
      <c r="L12" s="4"/>
      <c r="M12" s="4"/>
      <c r="N12" s="5">
        <f>GETPIVOTDATA("[Measures].[Sum of total_deaths]",worldometer_coronavirus_summary!$S$53)</f>
        <v>2673363</v>
      </c>
      <c r="O12" s="5"/>
      <c r="P12" s="5"/>
      <c r="Q12" s="5"/>
      <c r="R12" s="5"/>
      <c r="S12" s="5"/>
      <c r="T12" s="5"/>
      <c r="U12" s="5"/>
      <c r="V12" s="5"/>
      <c r="Z12" s="7"/>
      <c r="AA12" s="7"/>
    </row>
    <row r="13" spans="4:27" x14ac:dyDescent="0.3">
      <c r="D13" s="7"/>
      <c r="E13" s="7"/>
      <c r="F13" s="4"/>
      <c r="G13" s="4"/>
      <c r="H13" s="4"/>
      <c r="I13" s="4"/>
      <c r="J13" s="4"/>
      <c r="K13" s="4"/>
      <c r="L13" s="4"/>
      <c r="M13" s="4"/>
      <c r="N13" s="5"/>
      <c r="O13" s="5"/>
      <c r="P13" s="5"/>
      <c r="Q13" s="5"/>
      <c r="R13" s="5"/>
      <c r="S13" s="5"/>
      <c r="T13" s="5"/>
      <c r="U13" s="5"/>
      <c r="V13" s="5"/>
      <c r="Z13" s="7"/>
      <c r="AA13" s="7"/>
    </row>
    <row r="14" spans="4:27" x14ac:dyDescent="0.3">
      <c r="D14" s="7"/>
      <c r="E14" s="7"/>
      <c r="F14" s="4"/>
      <c r="G14" s="4"/>
      <c r="H14" s="4"/>
      <c r="I14" s="4"/>
      <c r="J14" s="4"/>
      <c r="K14" s="4"/>
      <c r="L14" s="4"/>
      <c r="M14" s="4"/>
      <c r="Z14" s="7"/>
      <c r="AA14" s="7"/>
    </row>
    <row r="15" spans="4:27" x14ac:dyDescent="0.3">
      <c r="D15" s="7"/>
      <c r="E15" s="7"/>
      <c r="Z15" s="7"/>
      <c r="AA15" s="7"/>
    </row>
    <row r="16" spans="4:27" x14ac:dyDescent="0.3">
      <c r="D16" s="7"/>
      <c r="E16" s="7"/>
      <c r="Z16" s="7"/>
      <c r="AA16" s="7"/>
    </row>
    <row r="17" spans="4:27" x14ac:dyDescent="0.3">
      <c r="D17" s="7"/>
      <c r="E17" s="7"/>
      <c r="Z17" s="7"/>
      <c r="AA17" s="7"/>
    </row>
    <row r="18" spans="4:27" x14ac:dyDescent="0.3">
      <c r="D18" s="7"/>
      <c r="E18" s="7"/>
      <c r="Z18" s="7"/>
      <c r="AA18" s="7"/>
    </row>
    <row r="19" spans="4:27" x14ac:dyDescent="0.3">
      <c r="D19" s="7"/>
      <c r="E19" s="7"/>
      <c r="Z19" s="7"/>
      <c r="AA19" s="7"/>
    </row>
    <row r="20" spans="4:27" x14ac:dyDescent="0.3">
      <c r="D20" s="7"/>
      <c r="E20" s="7"/>
      <c r="Z20" s="7"/>
      <c r="AA20" s="7"/>
    </row>
    <row r="21" spans="4:27" x14ac:dyDescent="0.3">
      <c r="D21" s="7"/>
      <c r="E21" s="7"/>
      <c r="Z21" s="7"/>
      <c r="AA21" s="7"/>
    </row>
    <row r="22" spans="4:27" x14ac:dyDescent="0.3">
      <c r="D22" s="7"/>
      <c r="E22" s="7"/>
      <c r="Z22" s="7"/>
      <c r="AA22" s="7"/>
    </row>
    <row r="23" spans="4:27" x14ac:dyDescent="0.3">
      <c r="D23" s="7"/>
      <c r="E23" s="7"/>
      <c r="Z23" s="7"/>
      <c r="AA23" s="7"/>
    </row>
    <row r="24" spans="4:27" x14ac:dyDescent="0.3">
      <c r="D24" s="7"/>
      <c r="E24" s="7"/>
      <c r="Z24" s="7"/>
      <c r="AA24" s="7"/>
    </row>
    <row r="25" spans="4:27" x14ac:dyDescent="0.3">
      <c r="D25" s="7"/>
      <c r="E25" s="7"/>
      <c r="Z25" s="7"/>
      <c r="AA25" s="7"/>
    </row>
    <row r="26" spans="4:27" x14ac:dyDescent="0.3">
      <c r="D26" s="7"/>
      <c r="E26" s="7"/>
      <c r="Z26" s="7"/>
      <c r="AA26" s="7"/>
    </row>
    <row r="27" spans="4:27" x14ac:dyDescent="0.3">
      <c r="D27" s="7"/>
      <c r="E27" s="7"/>
      <c r="Z27" s="7"/>
      <c r="AA27" s="7"/>
    </row>
    <row r="28" spans="4:27" x14ac:dyDescent="0.3">
      <c r="D28" s="7"/>
      <c r="E28" s="7"/>
      <c r="Z28" s="7"/>
      <c r="AA28" s="7"/>
    </row>
    <row r="29" spans="4:27" x14ac:dyDescent="0.3">
      <c r="D29" s="7"/>
      <c r="E29" s="7"/>
      <c r="Z29" s="7"/>
      <c r="AA29" s="7"/>
    </row>
    <row r="30" spans="4:27" x14ac:dyDescent="0.3">
      <c r="D30" s="7"/>
      <c r="E30" s="7"/>
      <c r="Z30" s="7"/>
      <c r="AA30" s="7"/>
    </row>
    <row r="31" spans="4:27" x14ac:dyDescent="0.3">
      <c r="D31" s="7"/>
      <c r="E31" s="7"/>
      <c r="Z31" s="7"/>
      <c r="AA31" s="7"/>
    </row>
    <row r="32" spans="4:27" x14ac:dyDescent="0.3">
      <c r="D32" s="7"/>
      <c r="E32" s="7"/>
      <c r="Z32" s="7"/>
      <c r="AA32" s="7"/>
    </row>
    <row r="33" spans="4:27" x14ac:dyDescent="0.3">
      <c r="D33" s="7"/>
      <c r="E33" s="7"/>
      <c r="Z33" s="7"/>
      <c r="AA33" s="7"/>
    </row>
    <row r="34" spans="4:27" x14ac:dyDescent="0.3">
      <c r="D34" s="7"/>
      <c r="E34" s="7"/>
      <c r="Z34" s="7"/>
      <c r="AA34" s="7"/>
    </row>
    <row r="35" spans="4:27" x14ac:dyDescent="0.3">
      <c r="D35" s="7"/>
      <c r="E35" s="7"/>
      <c r="Z35" s="7"/>
      <c r="AA35" s="7"/>
    </row>
    <row r="36" spans="4:27" x14ac:dyDescent="0.3">
      <c r="D36" s="7"/>
      <c r="E36" s="7"/>
      <c r="Z36" s="7"/>
      <c r="AA36" s="7"/>
    </row>
    <row r="37" spans="4:27" x14ac:dyDescent="0.3">
      <c r="D37" s="7"/>
      <c r="E37" s="7"/>
      <c r="Z37" s="7"/>
      <c r="AA37" s="7"/>
    </row>
    <row r="38" spans="4:27" x14ac:dyDescent="0.3">
      <c r="D38" s="7"/>
      <c r="E38" s="7"/>
      <c r="Z38" s="7"/>
      <c r="AA38" s="7"/>
    </row>
    <row r="39" spans="4:27" x14ac:dyDescent="0.3">
      <c r="D39" s="7"/>
      <c r="E39" s="7"/>
      <c r="Z39" s="7"/>
      <c r="AA39" s="7"/>
    </row>
    <row r="40" spans="4:27" x14ac:dyDescent="0.3">
      <c r="D40" s="7"/>
      <c r="E40" s="7"/>
      <c r="Z40" s="7"/>
      <c r="AA40" s="7"/>
    </row>
    <row r="41" spans="4:27" x14ac:dyDescent="0.3">
      <c r="D41" s="7"/>
      <c r="E41" s="7"/>
      <c r="Z41" s="7"/>
      <c r="AA41" s="7"/>
    </row>
    <row r="42" spans="4:27" x14ac:dyDescent="0.3">
      <c r="D42" s="7"/>
      <c r="E42" s="7"/>
      <c r="Z42" s="7"/>
      <c r="AA42" s="7"/>
    </row>
    <row r="43" spans="4:27" x14ac:dyDescent="0.3">
      <c r="D43" s="7"/>
      <c r="E43" s="7"/>
      <c r="Z43" s="7"/>
      <c r="AA43" s="7"/>
    </row>
    <row r="44" spans="4:27" x14ac:dyDescent="0.3">
      <c r="D44" s="7"/>
      <c r="E44" s="7"/>
      <c r="Z44" s="7"/>
      <c r="AA44" s="7"/>
    </row>
    <row r="45" spans="4:27" x14ac:dyDescent="0.3">
      <c r="D45" s="7"/>
      <c r="E45" s="7"/>
      <c r="Z45" s="7"/>
      <c r="AA45" s="7"/>
    </row>
    <row r="46" spans="4:27" x14ac:dyDescent="0.3">
      <c r="D46" s="7"/>
      <c r="E46" s="7"/>
      <c r="Z46" s="7"/>
      <c r="AA46" s="7"/>
    </row>
    <row r="47" spans="4:27" x14ac:dyDescent="0.3">
      <c r="D47" s="7"/>
      <c r="E47" s="7"/>
      <c r="Z47" s="7"/>
      <c r="AA47" s="7"/>
    </row>
    <row r="48" spans="4:27" x14ac:dyDescent="0.3">
      <c r="D48" s="7"/>
      <c r="E48" s="7"/>
      <c r="Z48" s="7"/>
      <c r="AA48" s="7"/>
    </row>
    <row r="49" spans="4:27" x14ac:dyDescent="0.3">
      <c r="D49" s="7"/>
      <c r="E49" s="7"/>
      <c r="Z49" s="7"/>
      <c r="AA49" s="7"/>
    </row>
    <row r="50" spans="4:27" x14ac:dyDescent="0.3">
      <c r="D50" s="7"/>
      <c r="E50" s="7"/>
      <c r="Z50" s="7"/>
      <c r="AA50" s="7"/>
    </row>
    <row r="51" spans="4:27" x14ac:dyDescent="0.3">
      <c r="D51" s="7"/>
      <c r="E51" s="7"/>
      <c r="Z51" s="7"/>
      <c r="AA51" s="7"/>
    </row>
    <row r="52" spans="4:27" x14ac:dyDescent="0.3">
      <c r="D52" s="7"/>
      <c r="E52" s="7"/>
      <c r="Z52" s="7"/>
      <c r="AA52" s="7"/>
    </row>
    <row r="53" spans="4:27" x14ac:dyDescent="0.3">
      <c r="D53" s="7"/>
      <c r="E53" s="7"/>
      <c r="Z53" s="7"/>
      <c r="AA53" s="7"/>
    </row>
    <row r="54" spans="4:27" x14ac:dyDescent="0.3">
      <c r="D54" s="7"/>
      <c r="E54" s="7"/>
      <c r="Z54" s="7"/>
      <c r="AA54" s="7"/>
    </row>
    <row r="55" spans="4:27" x14ac:dyDescent="0.3">
      <c r="D55" s="7"/>
      <c r="E55" s="7"/>
      <c r="Z55" s="7"/>
      <c r="AA55" s="7"/>
    </row>
    <row r="56" spans="4:27" x14ac:dyDescent="0.3">
      <c r="D56" s="7"/>
      <c r="E56" s="7"/>
      <c r="Z56" s="7"/>
      <c r="AA56" s="7"/>
    </row>
    <row r="57" spans="4:27" x14ac:dyDescent="0.3">
      <c r="D57" s="7"/>
      <c r="E57" s="7"/>
      <c r="Z57" s="7"/>
      <c r="AA57" s="7"/>
    </row>
    <row r="58" spans="4:27" x14ac:dyDescent="0.3">
      <c r="D58" s="7"/>
      <c r="E58" s="7"/>
      <c r="Z58" s="7"/>
      <c r="AA58" s="7"/>
    </row>
    <row r="59" spans="4:27" x14ac:dyDescent="0.3">
      <c r="D59" s="7"/>
      <c r="E59" s="7"/>
      <c r="F59" s="7"/>
      <c r="G59" s="7"/>
      <c r="H59" s="7"/>
      <c r="I59" s="7"/>
      <c r="J59" s="7"/>
      <c r="K59" s="7"/>
      <c r="L59" s="7"/>
      <c r="M59" s="7"/>
      <c r="N59" s="7"/>
      <c r="O59" s="7"/>
      <c r="P59" s="7"/>
      <c r="Q59" s="7"/>
      <c r="R59" s="7"/>
      <c r="S59" s="7"/>
      <c r="T59" s="7"/>
      <c r="U59" s="7"/>
      <c r="V59" s="7"/>
      <c r="W59" s="7"/>
      <c r="X59" s="7"/>
      <c r="Y59" s="7"/>
      <c r="Z59" s="7"/>
      <c r="AA59" s="7"/>
    </row>
    <row r="60" spans="4:27" x14ac:dyDescent="0.3">
      <c r="D60" s="7"/>
      <c r="E60" s="7"/>
      <c r="F60" s="7"/>
      <c r="G60" s="7"/>
      <c r="H60" s="7"/>
      <c r="I60" s="7"/>
      <c r="J60" s="7"/>
      <c r="K60" s="7"/>
      <c r="L60" s="7"/>
      <c r="M60" s="7"/>
      <c r="N60" s="7"/>
      <c r="O60" s="7"/>
      <c r="P60" s="7"/>
      <c r="Q60" s="7"/>
      <c r="R60" s="7"/>
      <c r="S60" s="7"/>
      <c r="T60" s="7"/>
      <c r="U60" s="7"/>
      <c r="V60" s="7"/>
      <c r="W60" s="7"/>
      <c r="X60" s="7"/>
      <c r="Y60" s="7"/>
      <c r="Z60" s="7"/>
      <c r="AA60" s="7"/>
    </row>
    <row r="61" spans="4:27" x14ac:dyDescent="0.3">
      <c r="D61" s="7"/>
      <c r="E61" s="7"/>
      <c r="F61" s="7"/>
      <c r="G61" s="7"/>
      <c r="H61" s="7"/>
      <c r="I61" s="7"/>
      <c r="J61" s="7"/>
      <c r="K61" s="7"/>
      <c r="L61" s="7"/>
      <c r="M61" s="7"/>
      <c r="N61" s="7"/>
      <c r="O61" s="7"/>
      <c r="P61" s="7"/>
      <c r="Q61" s="7"/>
      <c r="R61" s="7"/>
      <c r="S61" s="7"/>
      <c r="T61" s="7"/>
      <c r="U61" s="7"/>
      <c r="V61" s="7"/>
      <c r="W61" s="7"/>
      <c r="X61" s="7"/>
      <c r="Y61" s="7"/>
      <c r="Z61" s="7"/>
      <c r="AA61" s="7"/>
    </row>
    <row r="62" spans="4:27" x14ac:dyDescent="0.3">
      <c r="D62" s="7"/>
      <c r="E62" s="7"/>
      <c r="F62" s="7"/>
      <c r="G62" s="7"/>
      <c r="H62" s="7"/>
      <c r="I62" s="7"/>
      <c r="J62" s="7"/>
      <c r="K62" s="7"/>
      <c r="L62" s="7"/>
      <c r="M62" s="7"/>
      <c r="N62" s="7"/>
      <c r="O62" s="7"/>
      <c r="P62" s="7"/>
      <c r="Q62" s="7"/>
      <c r="R62" s="7"/>
      <c r="S62" s="7"/>
      <c r="T62" s="7"/>
      <c r="U62" s="7"/>
      <c r="V62" s="7"/>
      <c r="W62" s="7"/>
      <c r="X62" s="7"/>
      <c r="Y62" s="7"/>
      <c r="Z62" s="7"/>
      <c r="AA62" s="7"/>
    </row>
  </sheetData>
  <mergeCells count="9">
    <mergeCell ref="D10:E58"/>
    <mergeCell ref="Z10:AA58"/>
    <mergeCell ref="D59:Y62"/>
    <mergeCell ref="Z59:AA62"/>
    <mergeCell ref="F12:M14"/>
    <mergeCell ref="N12:V13"/>
    <mergeCell ref="F10:M11"/>
    <mergeCell ref="N10:Y11"/>
    <mergeCell ref="K4:V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1ACC7-B974-4889-BDB2-31B35BAF4BDD}">
  <dimension ref="A1:S83"/>
  <sheetViews>
    <sheetView topLeftCell="A35" zoomScale="45" zoomScaleNormal="45" workbookViewId="0">
      <selection activeCell="S53" sqref="S53:S54"/>
    </sheetView>
  </sheetViews>
  <sheetFormatPr defaultRowHeight="14.4" x14ac:dyDescent="0.3"/>
  <cols>
    <col min="1" max="1" width="21.109375" bestFit="1" customWidth="1"/>
    <col min="2" max="2" width="30" bestFit="1" customWidth="1"/>
    <col min="6" max="6" width="19.88671875" bestFit="1" customWidth="1"/>
    <col min="7" max="7" width="30" bestFit="1" customWidth="1"/>
    <col min="8" max="8" width="29.21875" bestFit="1" customWidth="1"/>
    <col min="12" max="12" width="21.109375" bestFit="1" customWidth="1"/>
    <col min="13" max="13" width="37.88671875" bestFit="1" customWidth="1"/>
    <col min="14" max="14" width="27" bestFit="1" customWidth="1"/>
    <col min="19" max="20" width="25.33203125" bestFit="1" customWidth="1"/>
  </cols>
  <sheetData>
    <row r="1" spans="1:13" x14ac:dyDescent="0.3">
      <c r="A1" s="1" t="s">
        <v>0</v>
      </c>
      <c r="B1" t="s">
        <v>3</v>
      </c>
    </row>
    <row r="2" spans="1:13" x14ac:dyDescent="0.3">
      <c r="A2" s="2" t="s">
        <v>10</v>
      </c>
      <c r="B2" s="3">
        <v>121915</v>
      </c>
    </row>
    <row r="3" spans="1:13" x14ac:dyDescent="0.3">
      <c r="A3" s="2" t="s">
        <v>8</v>
      </c>
      <c r="B3" s="3">
        <v>121915</v>
      </c>
    </row>
    <row r="4" spans="1:13" x14ac:dyDescent="0.3">
      <c r="A4" s="2" t="s">
        <v>12</v>
      </c>
      <c r="B4" s="3">
        <v>121915</v>
      </c>
    </row>
    <row r="5" spans="1:13" x14ac:dyDescent="0.3">
      <c r="A5" s="2" t="s">
        <v>4</v>
      </c>
      <c r="B5" s="3">
        <v>121915</v>
      </c>
    </row>
    <row r="6" spans="1:13" x14ac:dyDescent="0.3">
      <c r="A6" s="2" t="s">
        <v>9</v>
      </c>
      <c r="B6" s="3">
        <v>121915</v>
      </c>
      <c r="L6" s="1" t="s">
        <v>0</v>
      </c>
      <c r="M6" t="s">
        <v>23</v>
      </c>
    </row>
    <row r="7" spans="1:13" x14ac:dyDescent="0.3">
      <c r="A7" s="2" t="s">
        <v>5</v>
      </c>
      <c r="B7" s="3">
        <v>121915</v>
      </c>
      <c r="L7" s="2" t="s">
        <v>1</v>
      </c>
      <c r="M7" s="3">
        <v>13146453</v>
      </c>
    </row>
    <row r="8" spans="1:13" x14ac:dyDescent="0.3">
      <c r="A8" s="2" t="s">
        <v>11</v>
      </c>
      <c r="B8" s="3">
        <v>121915</v>
      </c>
      <c r="L8" s="2" t="s">
        <v>4</v>
      </c>
      <c r="M8" s="3">
        <v>13146453</v>
      </c>
    </row>
    <row r="9" spans="1:13" x14ac:dyDescent="0.3">
      <c r="A9" s="2" t="s">
        <v>6</v>
      </c>
      <c r="B9" s="3">
        <v>121915</v>
      </c>
      <c r="L9" s="2" t="s">
        <v>5</v>
      </c>
      <c r="M9" s="3">
        <v>13146453</v>
      </c>
    </row>
    <row r="10" spans="1:13" x14ac:dyDescent="0.3">
      <c r="A10" s="2" t="s">
        <v>1</v>
      </c>
      <c r="B10" s="3">
        <v>121915</v>
      </c>
      <c r="L10" s="2" t="s">
        <v>6</v>
      </c>
      <c r="M10" s="3">
        <v>13146453</v>
      </c>
    </row>
    <row r="11" spans="1:13" x14ac:dyDescent="0.3">
      <c r="A11" s="2" t="s">
        <v>7</v>
      </c>
      <c r="B11" s="3">
        <v>121915</v>
      </c>
      <c r="L11" s="2" t="s">
        <v>7</v>
      </c>
      <c r="M11" s="3">
        <v>13146453</v>
      </c>
    </row>
    <row r="12" spans="1:13" x14ac:dyDescent="0.3">
      <c r="A12" s="2" t="s">
        <v>2</v>
      </c>
      <c r="B12" s="3">
        <v>121915</v>
      </c>
      <c r="L12" s="2" t="s">
        <v>8</v>
      </c>
      <c r="M12" s="3">
        <v>13146453</v>
      </c>
    </row>
    <row r="13" spans="1:13" x14ac:dyDescent="0.3">
      <c r="L13" s="2" t="s">
        <v>9</v>
      </c>
      <c r="M13" s="3">
        <v>13146453</v>
      </c>
    </row>
    <row r="14" spans="1:13" x14ac:dyDescent="0.3">
      <c r="L14" s="2" t="s">
        <v>10</v>
      </c>
      <c r="M14" s="3">
        <v>13146453</v>
      </c>
    </row>
    <row r="15" spans="1:13" x14ac:dyDescent="0.3">
      <c r="L15" s="2" t="s">
        <v>11</v>
      </c>
      <c r="M15" s="3">
        <v>13146453</v>
      </c>
    </row>
    <row r="16" spans="1:13" x14ac:dyDescent="0.3">
      <c r="L16" s="2" t="s">
        <v>12</v>
      </c>
      <c r="M16" s="3">
        <v>13146453</v>
      </c>
    </row>
    <row r="17" spans="12:13" x14ac:dyDescent="0.3">
      <c r="L17" s="2" t="s">
        <v>2</v>
      </c>
      <c r="M17" s="3">
        <v>13146453</v>
      </c>
    </row>
    <row r="38" spans="6:19" x14ac:dyDescent="0.3">
      <c r="F38" s="1" t="s">
        <v>0</v>
      </c>
      <c r="G38" t="s">
        <v>31</v>
      </c>
    </row>
    <row r="39" spans="6:19" x14ac:dyDescent="0.3">
      <c r="F39" s="2" t="s">
        <v>26</v>
      </c>
      <c r="G39" s="3">
        <v>3108822</v>
      </c>
    </row>
    <row r="40" spans="6:19" x14ac:dyDescent="0.3">
      <c r="F40" s="2" t="s">
        <v>24</v>
      </c>
      <c r="G40" s="3">
        <v>3108822</v>
      </c>
    </row>
    <row r="41" spans="6:19" x14ac:dyDescent="0.3">
      <c r="F41" s="2" t="s">
        <v>29</v>
      </c>
      <c r="G41" s="3">
        <v>3108822</v>
      </c>
    </row>
    <row r="42" spans="6:19" x14ac:dyDescent="0.3">
      <c r="F42" s="2" t="s">
        <v>25</v>
      </c>
      <c r="G42" s="3">
        <v>3108822</v>
      </c>
    </row>
    <row r="43" spans="6:19" x14ac:dyDescent="0.3">
      <c r="F43" s="2" t="s">
        <v>27</v>
      </c>
      <c r="G43" s="3">
        <v>3108822</v>
      </c>
    </row>
    <row r="44" spans="6:19" x14ac:dyDescent="0.3">
      <c r="F44" s="2" t="s">
        <v>28</v>
      </c>
      <c r="G44" s="3">
        <v>3108822</v>
      </c>
      <c r="S44" t="s">
        <v>30</v>
      </c>
    </row>
    <row r="45" spans="6:19" x14ac:dyDescent="0.3">
      <c r="F45" s="2" t="s">
        <v>2</v>
      </c>
      <c r="G45" s="3">
        <v>3108822</v>
      </c>
      <c r="S45" s="3">
        <v>120814850</v>
      </c>
    </row>
    <row r="52" spans="7:19" x14ac:dyDescent="0.3">
      <c r="G52" s="1" t="s">
        <v>0</v>
      </c>
      <c r="H52" t="s">
        <v>30</v>
      </c>
    </row>
    <row r="53" spans="7:19" x14ac:dyDescent="0.3">
      <c r="G53" s="2" t="s">
        <v>22</v>
      </c>
      <c r="H53" s="3">
        <v>30138586</v>
      </c>
      <c r="S53" t="s">
        <v>44</v>
      </c>
    </row>
    <row r="54" spans="7:19" x14ac:dyDescent="0.3">
      <c r="G54" s="2" t="s">
        <v>13</v>
      </c>
      <c r="H54" s="3">
        <v>11525477</v>
      </c>
      <c r="S54" s="3">
        <v>2673363</v>
      </c>
    </row>
    <row r="55" spans="7:19" x14ac:dyDescent="0.3">
      <c r="G55" s="2" t="s">
        <v>16</v>
      </c>
      <c r="H55" s="3">
        <v>11409831</v>
      </c>
    </row>
    <row r="56" spans="7:19" x14ac:dyDescent="0.3">
      <c r="G56" s="2" t="s">
        <v>18</v>
      </c>
      <c r="H56" s="3">
        <v>4409438</v>
      </c>
    </row>
    <row r="57" spans="7:19" x14ac:dyDescent="0.3">
      <c r="G57" s="2" t="s">
        <v>21</v>
      </c>
      <c r="H57" s="3">
        <v>4263527</v>
      </c>
    </row>
    <row r="58" spans="7:19" x14ac:dyDescent="0.3">
      <c r="G58" s="2" t="s">
        <v>14</v>
      </c>
      <c r="H58" s="3">
        <v>4078133</v>
      </c>
    </row>
    <row r="59" spans="7:19" x14ac:dyDescent="0.3">
      <c r="G59" s="2" t="s">
        <v>17</v>
      </c>
      <c r="H59" s="3">
        <v>3238394</v>
      </c>
    </row>
    <row r="60" spans="7:19" x14ac:dyDescent="0.3">
      <c r="G60" s="2" t="s">
        <v>19</v>
      </c>
      <c r="H60" s="3">
        <v>3195062</v>
      </c>
    </row>
    <row r="61" spans="7:19" x14ac:dyDescent="0.3">
      <c r="G61" s="2" t="s">
        <v>20</v>
      </c>
      <c r="H61" s="3">
        <v>2894893</v>
      </c>
    </row>
    <row r="62" spans="7:19" x14ac:dyDescent="0.3">
      <c r="G62" s="2" t="s">
        <v>15</v>
      </c>
      <c r="H62" s="3">
        <v>2585385</v>
      </c>
    </row>
    <row r="63" spans="7:19" x14ac:dyDescent="0.3">
      <c r="G63" s="2" t="s">
        <v>2</v>
      </c>
      <c r="H63" s="3">
        <v>77738726</v>
      </c>
    </row>
    <row r="70" spans="6:7" x14ac:dyDescent="0.3">
      <c r="F70" s="1" t="s">
        <v>0</v>
      </c>
      <c r="G70" t="s">
        <v>3</v>
      </c>
    </row>
    <row r="71" spans="6:7" x14ac:dyDescent="0.3">
      <c r="F71" s="2" t="s">
        <v>32</v>
      </c>
      <c r="G71" s="3">
        <v>13766</v>
      </c>
    </row>
    <row r="72" spans="6:7" x14ac:dyDescent="0.3">
      <c r="F72" s="2" t="s">
        <v>33</v>
      </c>
      <c r="G72" s="3">
        <v>55375</v>
      </c>
    </row>
    <row r="73" spans="6:7" x14ac:dyDescent="0.3">
      <c r="F73" s="2" t="s">
        <v>34</v>
      </c>
      <c r="G73" s="3">
        <v>435</v>
      </c>
    </row>
    <row r="74" spans="6:7" x14ac:dyDescent="0.3">
      <c r="F74" s="2" t="s">
        <v>35</v>
      </c>
      <c r="G74" s="3">
        <v>1997</v>
      </c>
    </row>
    <row r="75" spans="6:7" x14ac:dyDescent="0.3">
      <c r="F75" s="2" t="s">
        <v>36</v>
      </c>
      <c r="G75" s="3">
        <v>13034</v>
      </c>
    </row>
    <row r="76" spans="6:7" x14ac:dyDescent="0.3">
      <c r="F76" s="2" t="s">
        <v>37</v>
      </c>
      <c r="G76" s="3">
        <v>16312</v>
      </c>
    </row>
    <row r="77" spans="6:7" x14ac:dyDescent="0.3">
      <c r="F77" s="2" t="s">
        <v>38</v>
      </c>
      <c r="G77" s="3">
        <v>5158</v>
      </c>
    </row>
    <row r="78" spans="6:7" x14ac:dyDescent="0.3">
      <c r="F78" s="2" t="s">
        <v>39</v>
      </c>
      <c r="G78" s="3">
        <v>1490</v>
      </c>
    </row>
    <row r="79" spans="6:7" x14ac:dyDescent="0.3">
      <c r="F79" s="2" t="s">
        <v>40</v>
      </c>
      <c r="G79" s="3">
        <v>1103</v>
      </c>
    </row>
    <row r="80" spans="6:7" x14ac:dyDescent="0.3">
      <c r="F80" s="2" t="s">
        <v>41</v>
      </c>
      <c r="G80" s="3">
        <v>2157</v>
      </c>
    </row>
    <row r="81" spans="6:7" x14ac:dyDescent="0.3">
      <c r="F81" s="2" t="s">
        <v>42</v>
      </c>
      <c r="G81" s="3">
        <v>5073</v>
      </c>
    </row>
    <row r="82" spans="6:7" x14ac:dyDescent="0.3">
      <c r="F82" s="2" t="s">
        <v>43</v>
      </c>
      <c r="G82" s="3">
        <v>6015</v>
      </c>
    </row>
    <row r="83" spans="6:7" x14ac:dyDescent="0.3">
      <c r="F83" s="2" t="s">
        <v>2</v>
      </c>
      <c r="G83" s="3">
        <v>121915</v>
      </c>
    </row>
  </sheetData>
  <pageMargins left="0.7" right="0.7" top="0.75" bottom="0.75" header="0.3" footer="0.3"/>
  <drawing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C773F0D-9482-4D17-9DBE-B34CF66820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worldometer_coronavirus_summary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Devika Gopakumar</dc:creator>
  <cp:lastModifiedBy>Devika Gopakumar</cp:lastModifiedBy>
  <dcterms:created xsi:type="dcterms:W3CDTF">2026-07-09T18:45:52Z</dcterms:created>
  <dcterms:modified xsi:type="dcterms:W3CDTF">2026-07-10T06:24:15Z</dcterms:modified>
</cp:coreProperties>
</file>